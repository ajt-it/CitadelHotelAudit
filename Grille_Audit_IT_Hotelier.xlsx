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itadelHotelAudit-v1.1\"/>
    </mc:Choice>
  </mc:AlternateContent>
  <bookViews>
    <workbookView xWindow="0" yWindow="0" windowWidth="16380" windowHeight="8190" tabRatio="500"/>
  </bookViews>
  <sheets>
    <sheet name="Mode d'emploi" sheetId="1" r:id="rId1"/>
    <sheet name="Tableau de bord" sheetId="2" r:id="rId2"/>
    <sheet name="Reference" sheetId="3" state="hidden" r:id="rId3"/>
    <sheet name="1 Gouvernance" sheetId="4" r:id="rId4"/>
    <sheet name="2 Réseau" sheetId="5" r:id="rId5"/>
    <sheet name="3 Protection" sheetId="6" r:id="rId6"/>
    <sheet name="4 Accès" sheetId="7" r:id="rId7"/>
    <sheet name="5 Paiement" sheetId="8" r:id="rId8"/>
    <sheet name="6 PMS" sheetId="9" r:id="rId9"/>
    <sheet name="7 Données" sheetId="10" r:id="rId10"/>
    <sheet name="8 Physique" sheetId="11" r:id="rId11"/>
    <sheet name="9 Continuité" sheetId="12" r:id="rId12"/>
  </sheets>
  <definedNames>
    <definedName name="_xlnm.Print_Titles" localSheetId="3">'1 Gouvernance'!$1:$1</definedName>
    <definedName name="_xlnm.Print_Titles" localSheetId="4">'2 Réseau'!$1:$1</definedName>
    <definedName name="_xlnm.Print_Titles" localSheetId="5">'3 Protection'!$1:$1</definedName>
    <definedName name="_xlnm.Print_Titles" localSheetId="6">'4 Accès'!$1:$1</definedName>
    <definedName name="_xlnm.Print_Titles" localSheetId="7">'5 Paiement'!$1:$1</definedName>
    <definedName name="_xlnm.Print_Titles" localSheetId="8">'6 PMS'!$1:$1</definedName>
    <definedName name="_xlnm.Print_Titles" localSheetId="9">'7 Données'!$1:$1</definedName>
    <definedName name="_xlnm.Print_Titles" localSheetId="10">'8 Physique'!$1:$1</definedName>
    <definedName name="_xlnm.Print_Titles" localSheetId="11">'9 Continuité'!$1:$1</definedName>
    <definedName name="_xlnm.Print_Area" localSheetId="3">'1 Gouvernance'!$A$1:$K$9</definedName>
    <definedName name="_xlnm.Print_Area" localSheetId="4">'2 Réseau'!$A$1:$K$18</definedName>
    <definedName name="_xlnm.Print_Area" localSheetId="5">'3 Protection'!$A$1:$K$7</definedName>
    <definedName name="_xlnm.Print_Area" localSheetId="6">'4 Accès'!$A$1:$K$9</definedName>
    <definedName name="_xlnm.Print_Area" localSheetId="7">'5 Paiement'!$A$1:$K$12</definedName>
    <definedName name="_xlnm.Print_Area" localSheetId="8">'6 PMS'!$A$1:$K$11</definedName>
    <definedName name="_xlnm.Print_Area" localSheetId="9">'7 Données'!$A$1:$K$9</definedName>
    <definedName name="_xlnm.Print_Area" localSheetId="10">'8 Physique'!$A$1:$K$12</definedName>
    <definedName name="_xlnm.Print_Area" localSheetId="11">'9 Continuité'!$A$1:$K$7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12" l="1"/>
  <c r="F7" i="12"/>
  <c r="G6" i="12"/>
  <c r="F6" i="12"/>
  <c r="G5" i="12"/>
  <c r="F5" i="12"/>
  <c r="G4" i="12"/>
  <c r="F4" i="12"/>
  <c r="G3" i="12"/>
  <c r="F3" i="12"/>
  <c r="G2" i="12"/>
  <c r="F2" i="12"/>
  <c r="G12" i="11"/>
  <c r="F12" i="11"/>
  <c r="G11" i="11"/>
  <c r="F11" i="11"/>
  <c r="G10" i="11"/>
  <c r="F10" i="11"/>
  <c r="G9" i="11"/>
  <c r="F9" i="11"/>
  <c r="G8" i="11"/>
  <c r="F8" i="11"/>
  <c r="G7" i="11"/>
  <c r="F7" i="11"/>
  <c r="G6" i="11"/>
  <c r="F6" i="11"/>
  <c r="G5" i="11"/>
  <c r="F5" i="11"/>
  <c r="G4" i="11"/>
  <c r="F4" i="11"/>
  <c r="G3" i="11"/>
  <c r="F3" i="11"/>
  <c r="G2" i="11"/>
  <c r="F2" i="11"/>
  <c r="B16" i="2" s="1"/>
  <c r="G9" i="10"/>
  <c r="F9" i="10"/>
  <c r="G8" i="10"/>
  <c r="F8" i="10"/>
  <c r="G7" i="10"/>
  <c r="F7" i="10"/>
  <c r="G6" i="10"/>
  <c r="F6" i="10"/>
  <c r="G5" i="10"/>
  <c r="F5" i="10"/>
  <c r="G4" i="10"/>
  <c r="F4" i="10"/>
  <c r="G3" i="10"/>
  <c r="F3" i="10"/>
  <c r="G2" i="10"/>
  <c r="F2" i="10"/>
  <c r="G11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G4" i="9"/>
  <c r="F4" i="9"/>
  <c r="G3" i="9"/>
  <c r="F3" i="9"/>
  <c r="G2" i="9"/>
  <c r="F2" i="9"/>
  <c r="B14" i="2" s="1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G3" i="8"/>
  <c r="F3" i="8"/>
  <c r="G2" i="8"/>
  <c r="F2" i="8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B12" i="2" s="1"/>
  <c r="G7" i="6"/>
  <c r="F7" i="6"/>
  <c r="G6" i="6"/>
  <c r="F6" i="6"/>
  <c r="G5" i="6"/>
  <c r="F5" i="6"/>
  <c r="G4" i="6"/>
  <c r="F4" i="6"/>
  <c r="G3" i="6"/>
  <c r="F3" i="6"/>
  <c r="G2" i="6"/>
  <c r="F2" i="6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  <c r="B10" i="2" s="1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C17" i="2"/>
  <c r="B17" i="2"/>
  <c r="D17" i="2" s="1"/>
  <c r="C16" i="2"/>
  <c r="C15" i="2"/>
  <c r="B15" i="2"/>
  <c r="D15" i="2" s="1"/>
  <c r="C14" i="2"/>
  <c r="D14" i="2" s="1"/>
  <c r="C13" i="2"/>
  <c r="B13" i="2"/>
  <c r="D13" i="2" s="1"/>
  <c r="C12" i="2"/>
  <c r="C11" i="2"/>
  <c r="B11" i="2"/>
  <c r="D11" i="2" s="1"/>
  <c r="C10" i="2"/>
  <c r="D10" i="2" s="1"/>
  <c r="C9" i="2"/>
  <c r="B9" i="2"/>
  <c r="B18" i="2" s="1"/>
  <c r="D12" i="2" l="1"/>
  <c r="D16" i="2"/>
  <c r="D9" i="2"/>
  <c r="C18" i="2"/>
  <c r="D18" i="2" s="1"/>
</calcChain>
</file>

<file path=xl/sharedStrings.xml><?xml version="1.0" encoding="utf-8"?>
<sst xmlns="http://schemas.openxmlformats.org/spreadsheetml/2006/main" count="504" uniqueCount="208">
  <si>
    <t>MODE D'EMPLOI - GRILLE D'AUDIT IT HOTELIER</t>
  </si>
  <si>
    <t>1. Objectif</t>
  </si>
  <si>
    <t>Ce fichier permet d'auditer l'infrastructure IT d'un établissement hôtelier (gouvernance, réseau, paiement, PMS, données clients, sécurité physique, continuité d'activité).</t>
  </si>
  <si>
    <t>2. Utilisation</t>
  </si>
  <si>
    <t>- Chaque domaine dispose de son propre onglet (ex : '2 Réseau', '5 Paiement'...). Pour chaque point de contrôle, choisir un Statut (Conforme / Partiel / Non conforme / N/A) et un Niveau de risque (Critique / Élevé / Moyen / Faible) via les listes déroulantes.</t>
  </si>
  <si>
    <t>- Documenter la colonne 'Constat / Preuve' (ce qui a été observé, y compris la méthode technique utilisée quand la question le demande) et 'Recommandation' (action à mener).</t>
  </si>
  <si>
    <t>- Renseigner 'Responsable' et 'Échéance' pour le suivi des actions correctives.</t>
  </si>
  <si>
    <t>3. Calcul automatique</t>
  </si>
  <si>
    <t>- L'onglet 'Tableau de bord' calcule automatiquement le taux de conformité par domaine et au global, à partir des statuts saisis dans chaque onglet.</t>
  </si>
  <si>
    <t>- Aucune colonne de score n'est à remplir manuellement : tout se met à jour automatiquement.</t>
  </si>
  <si>
    <t>4. Onglets</t>
  </si>
  <si>
    <t>- Un onglet par domaine (9 domaines, 85 points de contrôle au total).</t>
  </si>
  <si>
    <t>- Tableau de bord : synthèse visuelle du niveau de conformité par domaine.</t>
  </si>
  <si>
    <t>- Reference : tables de calcul internes (masquée, ne pas modifier).</t>
  </si>
  <si>
    <t>5. Périmètre couvert</t>
  </si>
  <si>
    <t>- Gouvernance &amp; Politique de sécurité</t>
  </si>
  <si>
    <t>- Réseau &amp; Infrastructure</t>
  </si>
  <si>
    <t>- Protection des postes, serveurs &amp; supervision</t>
  </si>
  <si>
    <t>- Gestion des accès</t>
  </si>
  <si>
    <t>- Paiement &amp; Terminaux</t>
  </si>
  <si>
    <t>- PMS &amp; Applications métier</t>
  </si>
  <si>
    <t>- Données clients &amp; Confidentialité</t>
  </si>
  <si>
    <t>- Sécurité physique &amp; Organisationnelle</t>
  </si>
  <si>
    <t>- Continuité d'activité &amp; Sauvegardes</t>
  </si>
  <si>
    <t>6. Une remarque sur la formulation des questions</t>
  </si>
  <si>
    <t>7. Adaptation</t>
  </si>
  <si>
    <t>Cette grille est un point de départ : ajouter, retirer ou repondérer les points de contrôle selon la taille et le contexte réel de l'établissement audité.</t>
  </si>
  <si>
    <t>TABLEAU DE BORD - AUDIT IT HOTELIER</t>
  </si>
  <si>
    <t>Établissement :</t>
  </si>
  <si>
    <t>Date de l'audit :</t>
  </si>
  <si>
    <t>Auditeur :</t>
  </si>
  <si>
    <t>Domaine</t>
  </si>
  <si>
    <t>Score obtenu</t>
  </si>
  <si>
    <t>Score max</t>
  </si>
  <si>
    <t>Taux de conformité</t>
  </si>
  <si>
    <t>Gouvernance &amp; Politique de sécurité</t>
  </si>
  <si>
    <t>Réseau &amp; Infrastructure</t>
  </si>
  <si>
    <t>Protection des postes, serveurs &amp; supervision</t>
  </si>
  <si>
    <t>Gestion des accès</t>
  </si>
  <si>
    <t>Paiement &amp; Terminaux</t>
  </si>
  <si>
    <t>PMS &amp; Applications métier</t>
  </si>
  <si>
    <t>Données clients &amp; Confidentialité</t>
  </si>
  <si>
    <t>Sécurité physique &amp; Organisationnelle</t>
  </si>
  <si>
    <t>Continuité d'activité &amp; Sauvegardes</t>
  </si>
  <si>
    <t>TOTAL GENERAL</t>
  </si>
  <si>
    <t>Méthode de calcul</t>
  </si>
  <si>
    <t>- Score obtenu = Poids du risque (Critique=4, Élevé=3, Moyen=2, Faible=1) x Multiplicateur du statut</t>
  </si>
  <si>
    <t>- Multiplicateur : Conforme=1, Partiel=0.5, Non conforme=0, N/A=exclu du calcul</t>
  </si>
  <si>
    <t>- Taux de conformité = Score obtenu / Score max, par domaine et au total</t>
  </si>
  <si>
    <t>- Chaque domaine dispose de son propre onglet — modifier les statuts et niveaux de risque directement dedans (colonnes D et E)</t>
  </si>
  <si>
    <t>Risque</t>
  </si>
  <si>
    <t>Poids</t>
  </si>
  <si>
    <t>Statut</t>
  </si>
  <si>
    <t>Multiplicateur</t>
  </si>
  <si>
    <t>Critique</t>
  </si>
  <si>
    <t>Conforme</t>
  </si>
  <si>
    <t>Élevé</t>
  </si>
  <si>
    <t>Partiel</t>
  </si>
  <si>
    <t>Moyen</t>
  </si>
  <si>
    <t>Non conforme</t>
  </si>
  <si>
    <t>Faible</t>
  </si>
  <si>
    <t>N/A</t>
  </si>
  <si>
    <t>N°</t>
  </si>
  <si>
    <t>Sous-domaine</t>
  </si>
  <si>
    <t>Point de contrôle</t>
  </si>
  <si>
    <t>Niveau de risque</t>
  </si>
  <si>
    <t>Constat / Preuve</t>
  </si>
  <si>
    <t>Recommandation</t>
  </si>
  <si>
    <t>Responsable</t>
  </si>
  <si>
    <t>Échéance</t>
  </si>
  <si>
    <t>Politiques</t>
  </si>
  <si>
    <t>Une politique de sécurité de l'information formalisée existe et est approuvée par la direction</t>
  </si>
  <si>
    <t>Une politique de classification de l'information existe (définit quelles données sont sensibles et comment les traiter)</t>
  </si>
  <si>
    <t>Une politique de gestion des accès existe (définit qui attribue les accès, qui valide, sur quels critères)</t>
  </si>
  <si>
    <t>Une politique de mots de passe existe et est communiquée aux employés</t>
  </si>
  <si>
    <t>Une politique de gestion des visiteurs existe (accompagnement, registre, accès limité dans le temps)</t>
  </si>
  <si>
    <t>Une politique de gestion des clés et badges d'accès physique existe (registre des détenteurs, procédure de demande)</t>
  </si>
  <si>
    <t>Responsabilité</t>
  </si>
  <si>
    <t>Un responsable de la sécurité de l'information est identifié, même informellement et à temps partiel</t>
  </si>
  <si>
    <t>Revue</t>
  </si>
  <si>
    <t>Ces politiques sont revues périodiquement (date de dernière revue connue et documentée)</t>
  </si>
  <si>
    <t>Segmentation</t>
  </si>
  <si>
    <t>Le réseau invités (Wifi) est segmenté du réseau administratif et des serveurs (VLAN, pare-feu, routeur dédié ou séparation physique — préciser la méthode en Constat)</t>
  </si>
  <si>
    <t>Le réseau des TPE/paiement est isolé de tout autre trafic (méthode à préciser en Constat)</t>
  </si>
  <si>
    <t>Les caméras, la domotique et les objets connectés (IoT) sont isolés du reste du réseau (méthode à préciser en Constat)</t>
  </si>
  <si>
    <t>Des règles de filtrage "tout est bloqué par défaut, sauf autorisation explicite" sont appliquées entre les segments réseau</t>
  </si>
  <si>
    <t>Wifi</t>
  </si>
  <si>
    <t>Le réseau Wifi est chiffré avec un protocole à jour, non obsolète (préciser en Constat : WPA2, WPA3, ou autre)</t>
  </si>
  <si>
    <t>Les mots de passe Wifi sont changés régulièrement</t>
  </si>
  <si>
    <t>Portail captif avec isolation client-à-client (AP isolation) activée</t>
  </si>
  <si>
    <t>Le réseau Wifi staff/administratif utilise une authentification individuelle (802.1X ou équivalent) plutôt qu'un mot de passe partagé</t>
  </si>
  <si>
    <t>Accès distant</t>
  </si>
  <si>
    <t>Authentification à deux facteurs sur les accès distants/admin</t>
  </si>
  <si>
    <t>Équipements</t>
  </si>
  <si>
    <t>Firmware des routeurs/switches/points d'accès à jour</t>
  </si>
  <si>
    <t>Mots de passe par défaut changés sur tous les équipements réseau</t>
  </si>
  <si>
    <t>Documentation</t>
  </si>
  <si>
    <t>Schéma réseau à jour et disponible</t>
  </si>
  <si>
    <t>Vérification active</t>
  </si>
  <si>
    <t>Test technique : un poste sur le segment invités ne parvient PAS à joindre un équipement du segment administratif/serveurs</t>
  </si>
  <si>
    <t>Test technique : un poste sur le segment invités ne parvient PAS à joindre le segment TPE/paiement</t>
  </si>
  <si>
    <t>Scan de découverte réseau effectué sur chaque segment pour repérer tout équipement mal rattaché (imprimante, téléphone IP, caméra)</t>
  </si>
  <si>
    <t>Téléphones IP et imprimantes réseau rattachés à un segment dédié, distinct du segment administratif</t>
  </si>
  <si>
    <t>Protection endpoint</t>
  </si>
  <si>
    <t>Antivirus/EDR déployé sur l'ensemble des postes de travail</t>
  </si>
  <si>
    <t>Protection serveurs</t>
  </si>
  <si>
    <t>Protection dédiée aux serveurs (EDR serveur), distincte d'un antivirus poste classique</t>
  </si>
  <si>
    <t>Exposition</t>
  </si>
  <si>
    <t>Serveurs critiques (PMS, base de données) non exposés directement à Internet</t>
  </si>
  <si>
    <t>Filtrage</t>
  </si>
  <si>
    <t>Filtrage web / proxy en place pour encadrer les accès Internet sortants</t>
  </si>
  <si>
    <t>Supervision</t>
  </si>
  <si>
    <t>Outil de supervision permettant de détecter la panne d'un équipement ou service critique</t>
  </si>
  <si>
    <t>Alertes de supervision reçues et traitées par une personne identifiée</t>
  </si>
  <si>
    <t>Changements</t>
  </si>
  <si>
    <t>Procédure de gestion des changements documentée (qui valide une modification réseau/système)</t>
  </si>
  <si>
    <t>Schéma d'infrastructure réseau formalisé, daté, et mis à jour à chaque changement majeur</t>
  </si>
  <si>
    <t>Attribution</t>
  </si>
  <si>
    <t>Toute attribution d'accès (PMS, Wifi admin, VPN...) est tracée via une fiche ou un ticket, avec la personne qui l'a validée</t>
  </si>
  <si>
    <t>Départs</t>
  </si>
  <si>
    <t>Procédure formelle de notification à l'IT lors du départ d'un employé (désactivation des accès sous délai défini)</t>
  </si>
  <si>
    <t>Traçabilité</t>
  </si>
  <si>
    <t>Journal ou traçabilité permettant de savoir qui a attribué quel accès et quand</t>
  </si>
  <si>
    <t>Comptes</t>
  </si>
  <si>
    <t>Comptes PMS et POS (restauration/bar) nominatifs, non partagés entre employés</t>
  </si>
  <si>
    <t>Typologie</t>
  </si>
  <si>
    <t>Les types d'accès (physique, logique sur site, distant) sont distingués, avec une règle définie pour chacun</t>
  </si>
  <si>
    <t>Visiteurs</t>
  </si>
  <si>
    <t>Les visiteurs sont accompagnés et enregistrés lors de leur passage dans les zones techniques</t>
  </si>
  <si>
    <t>TPE</t>
  </si>
  <si>
    <t>Connexion TPE chiffrée via liaison opérateur bancaire sécurisée</t>
  </si>
  <si>
    <t>PCI-DSS</t>
  </si>
  <si>
    <t>Niveau de conformité PCI-DSS identifié (SAQ applicable connu)</t>
  </si>
  <si>
    <t>Aucune donnée de carte (PAN complet) stockée sur les systèmes internes</t>
  </si>
  <si>
    <t>VCC</t>
  </si>
  <si>
    <t>Processus de réception des VCC (Virtual Credit Card) documenté et sécurisé</t>
  </si>
  <si>
    <t>Accès aux VCC limité au personnel autorisé (compta / réception senior)</t>
  </si>
  <si>
    <t>Suppression ou archivage sécurisé des VCC après traitement</t>
  </si>
  <si>
    <t>Guichet bancaire</t>
  </si>
  <si>
    <t>Guichet/ATM isolé du reste du réseau si présent (méthode à préciser en Constat)</t>
  </si>
  <si>
    <t>Accès physique au guichet contrôlé et supervisé</t>
  </si>
  <si>
    <t>Contrats</t>
  </si>
  <si>
    <t>Convention VAD / e-commerce avec la banque partenaire à jour</t>
  </si>
  <si>
    <t>Contrôle</t>
  </si>
  <si>
    <t>Rapprochement régulier des transactions TPE avec la comptabilité</t>
  </si>
  <si>
    <t>Gestion des rôles utilisateurs par fonction (réception/compta/direction)</t>
  </si>
  <si>
    <t>Aucun compte partagé ou générique utilisé au quotidien</t>
  </si>
  <si>
    <t>Désactivation immédiate des comptes des employés partis</t>
  </si>
  <si>
    <t>Mots de passe</t>
  </si>
  <si>
    <t>Politique de mots de passe robuste appliquée sur le PMS</t>
  </si>
  <si>
    <t>Mises à jour</t>
  </si>
  <si>
    <t>PMS et applications tierces maintenus à jour</t>
  </si>
  <si>
    <t>Sauvegardes</t>
  </si>
  <si>
    <t>Sauvegarde quotidienne automatisée du PMS et de la base de données</t>
  </si>
  <si>
    <t>Test de restauration effectué au moins une fois par an</t>
  </si>
  <si>
    <t>Journalisation</t>
  </si>
  <si>
    <t>Logs d'accès et d'action conservés et consultables</t>
  </si>
  <si>
    <t>Intégrations</t>
  </si>
  <si>
    <t>Connexions GDS/OTA/channel manager sécurisées (API/clé chiffrée)</t>
  </si>
  <si>
    <t>Licences</t>
  </si>
  <si>
    <t>Licences logicielles à jour et conformes</t>
  </si>
  <si>
    <t>Stockage</t>
  </si>
  <si>
    <t>Localisation des données clients (passeport, carte, séjour) identifiée</t>
  </si>
  <si>
    <t>Chiffrement</t>
  </si>
  <si>
    <t>Données sensibles chiffrées au repos</t>
  </si>
  <si>
    <t>Communications avec le PMS/API chiffrées en transit (HTTPS/TLS)</t>
  </si>
  <si>
    <t>Rétention</t>
  </si>
  <si>
    <t>Politique de durée de conservation des données définie</t>
  </si>
  <si>
    <t>Conformité</t>
  </si>
  <si>
    <t>Conformité à la loi locale sur la protection des données (APDP ou équivalent)</t>
  </si>
  <si>
    <t>Accès</t>
  </si>
  <si>
    <t>Journal des accès aux dossiers clients sensibles</t>
  </si>
  <si>
    <t>Partage</t>
  </si>
  <si>
    <t>Contrats avec prestataires tiers incluant clauses de confidentialité</t>
  </si>
  <si>
    <t>Suppression</t>
  </si>
  <si>
    <t>Procédure de suppression des données à la demande du client</t>
  </si>
  <si>
    <t>Accès physique</t>
  </si>
  <si>
    <t>Salle serveur/réseau fermée à clé avec accès restreint</t>
  </si>
  <si>
    <t>Salle serveur/réseau sous vidéosurveillance</t>
  </si>
  <si>
    <t>Accès à la salle serveur par badge nominatif plutôt que par clé partagée</t>
  </si>
  <si>
    <t>Gestion des clés</t>
  </si>
  <si>
    <t>Les clés d'accès physique sont gérées via un registre (qui détient quoi, depuis quand)</t>
  </si>
  <si>
    <t>Registre des accès à la salle technique</t>
  </si>
  <si>
    <t>Postes</t>
  </si>
  <si>
    <t>Verrouillage automatique des sessions après inactivité</t>
  </si>
  <si>
    <t>Sensibilisation</t>
  </si>
  <si>
    <t>Formation du personnel au phishing et à l'ingénierie sociale</t>
  </si>
  <si>
    <t>Politique</t>
  </si>
  <si>
    <t>Charte informatique signée par les employés</t>
  </si>
  <si>
    <t>Prestataires</t>
  </si>
  <si>
    <t>Accès des prestataires externes tracé et limité dans le temps</t>
  </si>
  <si>
    <t>Inventaire à jour des équipements IT et de leurs responsables</t>
  </si>
  <si>
    <t>Support</t>
  </si>
  <si>
    <t>Procédure claire de signalement d'incident de sécurité</t>
  </si>
  <si>
    <t>Plan de continuité</t>
  </si>
  <si>
    <t>Procédure dégradée papier en cas de panne du PMS</t>
  </si>
  <si>
    <t>Alimentation électrique de secours pour équipements critiques (onduleurs)</t>
  </si>
  <si>
    <t>Copie de sauvegarde stockée hors site ou dans le cloud</t>
  </si>
  <si>
    <t>Chiffrement des sauvegardes</t>
  </si>
  <si>
    <t>Reprise</t>
  </si>
  <si>
    <t>Temps de reprise (RTO) estimé et jugé acceptable</t>
  </si>
  <si>
    <t>Test</t>
  </si>
  <si>
    <t>Exercice de simulation d'incident réalisé au moins une fois</t>
  </si>
  <si>
    <t>Version 1.1 - Juillet 2026 - Licence CC BY-SA 4.0 - Citadel IT Solutions</t>
  </si>
  <si>
    <t>Version 1.1 - Juillet 2026 - Citadel IT Solutions - Licence CC BY-SA 4.0</t>
  </si>
  <si>
    <t>Un accès distant sécurisé (VPN ou équivalent) est requis pour toute administration à distance pas d'accès direct exposé (type RDP) sur Internet</t>
  </si>
  <si>
    <t>Les points de contrôle décrivent un résultat attendu ("le réseau est segmenté", "le Wifi est chiffré avec un protocole à jour") plutôt qu'une technologie précise. La méthode ou la technologie utilisée (VLAN, pare-feu, WPA2/WPA3...) se documente dans la colonne Constat ainsi la grille reste valable même quand les technologies évoluent.</t>
  </si>
  <si>
    <t>Terminaux de paiement isolés du reste du réseau (VLAN, pare-feu ou réseau physique dédié préciser en Constat)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</si>
</sst>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color rgb="FF1F3864"/>
      <name val="Arial"/>
      <charset val="1"/>
    </font>
    <font>
      <i/>
      <sz val="8"/>
      <color rgb="FF808080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i/>
      <sz val="8"/>
      <color rgb="FF80808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2" fillId="2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3" fillId="4" borderId="1" xfId="0" applyFont="1" applyFill="1" applyBorder="1"/>
    <xf numFmtId="164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Border="1"/>
    <xf numFmtId="0" fontId="4" fillId="0" borderId="0" xfId="0" applyFont="1" applyBorder="1"/>
    <xf numFmtId="0" fontId="8" fillId="0" borderId="0" xfId="0" applyFont="1" applyBorder="1"/>
    <xf numFmtId="0" fontId="5" fillId="0" borderId="0" xfId="0" applyFont="1" applyBorder="1"/>
  </cellXfs>
  <cellStyles count="1">
    <cellStyle name="Normal" xfId="0" builtinId="0"/>
  </cellStyles>
  <dxfs count="36"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294840</xdr:colOff>
      <xdr:row>0</xdr:row>
      <xdr:rowOff>380520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9484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294840</xdr:colOff>
      <xdr:row>0</xdr:row>
      <xdr:rowOff>380520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9484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tabSelected="1" zoomScale="70" zoomScaleNormal="70" workbookViewId="0">
      <selection activeCell="D36" sqref="D36"/>
    </sheetView>
  </sheetViews>
  <sheetFormatPr baseColWidth="10" defaultColWidth="8.7109375" defaultRowHeight="15" x14ac:dyDescent="0.25"/>
  <cols>
    <col min="1" max="1" width="100" customWidth="1"/>
  </cols>
  <sheetData>
    <row r="1" spans="1:1" ht="33.75" customHeight="1" x14ac:dyDescent="0.25"/>
    <row r="2" spans="1:1" ht="18" x14ac:dyDescent="0.25">
      <c r="A2" s="1" t="s">
        <v>0</v>
      </c>
    </row>
    <row r="3" spans="1:1" x14ac:dyDescent="0.25">
      <c r="A3" s="2"/>
    </row>
    <row r="4" spans="1:1" x14ac:dyDescent="0.25">
      <c r="A4" s="3" t="s">
        <v>1</v>
      </c>
    </row>
    <row r="5" spans="1:1" ht="25.5" x14ac:dyDescent="0.25">
      <c r="A5" s="2" t="s">
        <v>2</v>
      </c>
    </row>
    <row r="6" spans="1:1" x14ac:dyDescent="0.25">
      <c r="A6" s="2"/>
    </row>
    <row r="7" spans="1:1" x14ac:dyDescent="0.25">
      <c r="A7" s="3" t="s">
        <v>3</v>
      </c>
    </row>
    <row r="8" spans="1:1" ht="38.25" x14ac:dyDescent="0.25">
      <c r="A8" s="2" t="s">
        <v>4</v>
      </c>
    </row>
    <row r="9" spans="1:1" ht="25.5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/>
    </row>
    <row r="12" spans="1:1" x14ac:dyDescent="0.25">
      <c r="A12" s="3" t="s">
        <v>7</v>
      </c>
    </row>
    <row r="13" spans="1:1" ht="25.5" x14ac:dyDescent="0.25">
      <c r="A13" s="2" t="s">
        <v>8</v>
      </c>
    </row>
    <row r="14" spans="1:1" x14ac:dyDescent="0.25">
      <c r="A14" s="2" t="s">
        <v>9</v>
      </c>
    </row>
    <row r="15" spans="1:1" x14ac:dyDescent="0.25">
      <c r="A15" s="2"/>
    </row>
    <row r="16" spans="1:1" x14ac:dyDescent="0.25">
      <c r="A16" s="3" t="s">
        <v>10</v>
      </c>
    </row>
    <row r="17" spans="1:1" x14ac:dyDescent="0.25">
      <c r="A17" s="2" t="s">
        <v>11</v>
      </c>
    </row>
    <row r="18" spans="1:1" x14ac:dyDescent="0.25">
      <c r="A18" s="2" t="s">
        <v>12</v>
      </c>
    </row>
    <row r="19" spans="1:1" x14ac:dyDescent="0.25">
      <c r="A19" s="2" t="s">
        <v>13</v>
      </c>
    </row>
    <row r="20" spans="1:1" x14ac:dyDescent="0.25">
      <c r="A20" s="2"/>
    </row>
    <row r="21" spans="1:1" x14ac:dyDescent="0.25">
      <c r="A21" s="3" t="s">
        <v>14</v>
      </c>
    </row>
    <row r="22" spans="1:1" x14ac:dyDescent="0.25">
      <c r="A22" s="2" t="s">
        <v>15</v>
      </c>
    </row>
    <row r="23" spans="1:1" x14ac:dyDescent="0.25">
      <c r="A23" s="2" t="s">
        <v>16</v>
      </c>
    </row>
    <row r="24" spans="1:1" x14ac:dyDescent="0.25">
      <c r="A24" s="2" t="s">
        <v>17</v>
      </c>
    </row>
    <row r="25" spans="1:1" x14ac:dyDescent="0.25">
      <c r="A25" s="2" t="s">
        <v>18</v>
      </c>
    </row>
    <row r="26" spans="1:1" x14ac:dyDescent="0.25">
      <c r="A26" s="2" t="s">
        <v>19</v>
      </c>
    </row>
    <row r="27" spans="1:1" x14ac:dyDescent="0.25">
      <c r="A27" s="2" t="s">
        <v>20</v>
      </c>
    </row>
    <row r="28" spans="1:1" x14ac:dyDescent="0.25">
      <c r="A28" s="2" t="s">
        <v>21</v>
      </c>
    </row>
    <row r="29" spans="1:1" x14ac:dyDescent="0.25">
      <c r="A29" s="2" t="s">
        <v>22</v>
      </c>
    </row>
    <row r="30" spans="1:1" x14ac:dyDescent="0.25">
      <c r="A30" s="2" t="s">
        <v>23</v>
      </c>
    </row>
    <row r="31" spans="1:1" x14ac:dyDescent="0.25">
      <c r="A31" s="2"/>
    </row>
    <row r="32" spans="1:1" x14ac:dyDescent="0.25">
      <c r="A32" s="3" t="s">
        <v>24</v>
      </c>
    </row>
    <row r="33" spans="1:1" ht="38.25" x14ac:dyDescent="0.25">
      <c r="A33" s="17" t="s">
        <v>206</v>
      </c>
    </row>
    <row r="34" spans="1:1" x14ac:dyDescent="0.25">
      <c r="A34" s="2"/>
    </row>
    <row r="35" spans="1:1" x14ac:dyDescent="0.25">
      <c r="A35" s="3" t="s">
        <v>25</v>
      </c>
    </row>
    <row r="36" spans="1:1" ht="25.5" x14ac:dyDescent="0.25">
      <c r="A36" s="2" t="s">
        <v>26</v>
      </c>
    </row>
    <row r="37" spans="1:1" x14ac:dyDescent="0.25">
      <c r="A37" s="2"/>
    </row>
    <row r="38" spans="1:1" x14ac:dyDescent="0.25">
      <c r="A38" s="2" t="s">
        <v>203</v>
      </c>
    </row>
  </sheetData>
  <pageMargins left="0.75" right="0.75" top="1" bottom="1" header="0.5" footer="0.5"/>
  <pageSetup paperSize="9" orientation="portrait" horizontalDpi="300" verticalDpi="300" r:id="rId1"/>
  <headerFooter>
    <oddHeader>&amp;L&amp;"Calibri,Gras"&amp;9 Citadel IT Solutions&amp;R&amp;9 Page &amp;P / &amp;N</oddHeader>
    <oddFooter>&amp;C&amp;"Calibri,Italique"&amp;8 Citadel IT Solutions - Conseil IT, Cloud &amp;&amp; Cybersécurité - Lomé, Togo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zoomScaleNormal="100" workbookViewId="0">
      <selection activeCell="F12" sqref="F12"/>
    </sheetView>
  </sheetViews>
  <sheetFormatPr baseColWidth="10" defaultColWidth="8.7109375" defaultRowHeight="15" x14ac:dyDescent="0.25"/>
  <cols>
    <col min="1" max="1" width="40" customWidth="1"/>
    <col min="2" max="2" width="16" customWidth="1"/>
    <col min="3" max="3" width="14" customWidth="1"/>
    <col min="4" max="4" width="20" customWidth="1"/>
  </cols>
  <sheetData>
    <row r="1" spans="1:5" ht="33.75" customHeight="1" x14ac:dyDescent="0.25"/>
    <row r="2" spans="1:5" ht="20.25" x14ac:dyDescent="0.3">
      <c r="B2" s="19" t="s">
        <v>27</v>
      </c>
      <c r="C2" s="19"/>
      <c r="D2" s="19"/>
      <c r="E2" s="19"/>
    </row>
    <row r="3" spans="1:5" x14ac:dyDescent="0.25">
      <c r="A3" s="4" t="s">
        <v>28</v>
      </c>
      <c r="B3" s="5"/>
    </row>
    <row r="4" spans="1:5" x14ac:dyDescent="0.25">
      <c r="A4" s="4" t="s">
        <v>29</v>
      </c>
      <c r="B4" s="5"/>
    </row>
    <row r="5" spans="1:5" x14ac:dyDescent="0.25">
      <c r="A5" s="4" t="s">
        <v>30</v>
      </c>
      <c r="B5" s="5"/>
    </row>
    <row r="6" spans="1:5" x14ac:dyDescent="0.25">
      <c r="A6" s="20" t="s">
        <v>204</v>
      </c>
      <c r="B6" s="21"/>
      <c r="C6" s="21"/>
      <c r="D6" s="21"/>
      <c r="E6" s="21"/>
    </row>
    <row r="8" spans="1:5" x14ac:dyDescent="0.25">
      <c r="A8" s="6" t="s">
        <v>31</v>
      </c>
      <c r="B8" s="6" t="s">
        <v>32</v>
      </c>
      <c r="C8" s="6" t="s">
        <v>33</v>
      </c>
      <c r="D8" s="6" t="s">
        <v>34</v>
      </c>
    </row>
    <row r="9" spans="1:5" x14ac:dyDescent="0.25">
      <c r="A9" s="7" t="s">
        <v>35</v>
      </c>
      <c r="B9" s="8">
        <f>SUM('1 Gouvernance'!$F$2:$F$9)</f>
        <v>0</v>
      </c>
      <c r="C9" s="8">
        <f>SUM('1 Gouvernance'!$G$2:$G$9)</f>
        <v>16</v>
      </c>
      <c r="D9" s="9">
        <f t="shared" ref="D9:D18" si="0">IF(C9=0,"N/A",B9/C9)</f>
        <v>0</v>
      </c>
    </row>
    <row r="10" spans="1:5" x14ac:dyDescent="0.25">
      <c r="A10" s="7" t="s">
        <v>36</v>
      </c>
      <c r="B10" s="8">
        <f>SUM('2 Réseau'!$F$2:$F$18)</f>
        <v>0</v>
      </c>
      <c r="C10" s="8">
        <f>SUM('2 Réseau'!$G$2:$G$18)</f>
        <v>34</v>
      </c>
      <c r="D10" s="9">
        <f t="shared" si="0"/>
        <v>0</v>
      </c>
    </row>
    <row r="11" spans="1:5" x14ac:dyDescent="0.25">
      <c r="A11" s="7" t="s">
        <v>37</v>
      </c>
      <c r="B11" s="8">
        <f>SUM('3 Protection'!$F$2:$F$7)</f>
        <v>0</v>
      </c>
      <c r="C11" s="8">
        <f>SUM('3 Protection'!$G$2:$G$7)</f>
        <v>12</v>
      </c>
      <c r="D11" s="9">
        <f t="shared" si="0"/>
        <v>0</v>
      </c>
    </row>
    <row r="12" spans="1:5" x14ac:dyDescent="0.25">
      <c r="A12" s="7" t="s">
        <v>38</v>
      </c>
      <c r="B12" s="8">
        <f>SUM('4 Accès'!$F$2:$F$9)</f>
        <v>0</v>
      </c>
      <c r="C12" s="8">
        <f>SUM('4 Accès'!$G$2:$G$9)</f>
        <v>16</v>
      </c>
      <c r="D12" s="9">
        <f t="shared" si="0"/>
        <v>0</v>
      </c>
    </row>
    <row r="13" spans="1:5" x14ac:dyDescent="0.25">
      <c r="A13" s="7" t="s">
        <v>39</v>
      </c>
      <c r="B13" s="8">
        <f>SUM('5 Paiement'!$F$2:$F$12)</f>
        <v>0</v>
      </c>
      <c r="C13" s="8">
        <f>SUM('5 Paiement'!$G$2:$G$12)</f>
        <v>22</v>
      </c>
      <c r="D13" s="9">
        <f t="shared" si="0"/>
        <v>0</v>
      </c>
    </row>
    <row r="14" spans="1:5" x14ac:dyDescent="0.25">
      <c r="A14" s="7" t="s">
        <v>40</v>
      </c>
      <c r="B14" s="8">
        <f>SUM('6 PMS'!$F$2:$F$11)</f>
        <v>0</v>
      </c>
      <c r="C14" s="8">
        <f>SUM('6 PMS'!$G$2:$G$11)</f>
        <v>20</v>
      </c>
      <c r="D14" s="9">
        <f t="shared" si="0"/>
        <v>0</v>
      </c>
    </row>
    <row r="15" spans="1:5" x14ac:dyDescent="0.25">
      <c r="A15" s="7" t="s">
        <v>41</v>
      </c>
      <c r="B15" s="8">
        <f>SUM('7 Données'!$F$2:$F$9)</f>
        <v>0</v>
      </c>
      <c r="C15" s="8">
        <f>SUM('7 Données'!$G$2:$G$9)</f>
        <v>16</v>
      </c>
      <c r="D15" s="9">
        <f t="shared" si="0"/>
        <v>0</v>
      </c>
    </row>
    <row r="16" spans="1:5" x14ac:dyDescent="0.25">
      <c r="A16" s="7" t="s">
        <v>42</v>
      </c>
      <c r="B16" s="8">
        <f>SUM('8 Physique'!$F$2:$F$12)</f>
        <v>0</v>
      </c>
      <c r="C16" s="8">
        <f>SUM('8 Physique'!$G$2:$G$12)</f>
        <v>22</v>
      </c>
      <c r="D16" s="9">
        <f t="shared" si="0"/>
        <v>0</v>
      </c>
    </row>
    <row r="17" spans="1:5" x14ac:dyDescent="0.25">
      <c r="A17" s="7" t="s">
        <v>43</v>
      </c>
      <c r="B17" s="8">
        <f>SUM('9 Continuité'!$F$2:$F$7)</f>
        <v>0</v>
      </c>
      <c r="C17" s="8">
        <f>SUM('9 Continuité'!$G$2:$G$7)</f>
        <v>12</v>
      </c>
      <c r="D17" s="9">
        <f t="shared" si="0"/>
        <v>0</v>
      </c>
    </row>
    <row r="18" spans="1:5" x14ac:dyDescent="0.25">
      <c r="A18" s="10" t="s">
        <v>44</v>
      </c>
      <c r="B18" s="11">
        <f>SUM(B9:B17)</f>
        <v>0</v>
      </c>
      <c r="C18" s="11">
        <f>SUM(C9:C17)</f>
        <v>170</v>
      </c>
      <c r="D18" s="12">
        <f t="shared" si="0"/>
        <v>0</v>
      </c>
    </row>
    <row r="21" spans="1:5" x14ac:dyDescent="0.25">
      <c r="A21" s="4" t="s">
        <v>45</v>
      </c>
    </row>
    <row r="22" spans="1:5" x14ac:dyDescent="0.25">
      <c r="A22" s="18" t="s">
        <v>46</v>
      </c>
      <c r="B22" s="18"/>
      <c r="C22" s="18"/>
      <c r="D22" s="18"/>
      <c r="E22" s="18"/>
    </row>
    <row r="23" spans="1:5" x14ac:dyDescent="0.25">
      <c r="A23" s="18" t="s">
        <v>47</v>
      </c>
      <c r="B23" s="18"/>
      <c r="C23" s="18"/>
      <c r="D23" s="18"/>
      <c r="E23" s="18"/>
    </row>
    <row r="24" spans="1:5" x14ac:dyDescent="0.25">
      <c r="A24" s="18" t="s">
        <v>48</v>
      </c>
      <c r="B24" s="18"/>
      <c r="C24" s="18"/>
      <c r="D24" s="18"/>
      <c r="E24" s="18"/>
    </row>
    <row r="25" spans="1:5" x14ac:dyDescent="0.25">
      <c r="A25" s="18" t="s">
        <v>49</v>
      </c>
      <c r="B25" s="18"/>
      <c r="C25" s="18"/>
      <c r="D25" s="18"/>
      <c r="E25" s="18"/>
    </row>
  </sheetData>
  <mergeCells count="6">
    <mergeCell ref="A25:E25"/>
    <mergeCell ref="B2:E2"/>
    <mergeCell ref="A6:E6"/>
    <mergeCell ref="A22:E22"/>
    <mergeCell ref="A23:E23"/>
    <mergeCell ref="A24:E24"/>
  </mergeCells>
  <conditionalFormatting sqref="D9:D18">
    <cfRule type="colorScale" priority="2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pageMargins left="0.75" right="0.75" top="1" bottom="1" header="0.5" footer="0.5"/>
  <pageSetup paperSize="9" orientation="landscape" horizontalDpi="300" verticalDpi="300" r:id="rId1"/>
  <headerFooter>
    <oddHeader>&amp;L&amp;"Calibri,Gras"&amp;9 Citadel IT Solutions&amp;R&amp;9 Page &amp;P / &amp;N</oddHeader>
    <oddFooter>&amp;C&amp;"Calibri,Italique"&amp;8 Citadel IT Solutions - Conseil IT, Cloud &amp;&amp; Cybersécurité - Lomé, Togo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Normal="100" workbookViewId="0"/>
  </sheetViews>
  <sheetFormatPr baseColWidth="10" defaultColWidth="8.7109375" defaultRowHeight="15" x14ac:dyDescent="0.25"/>
  <sheetData>
    <row r="1" spans="1:5" x14ac:dyDescent="0.25">
      <c r="A1" s="4" t="s">
        <v>50</v>
      </c>
      <c r="B1" s="4" t="s">
        <v>51</v>
      </c>
      <c r="C1" s="13"/>
      <c r="D1" s="4" t="s">
        <v>52</v>
      </c>
      <c r="E1" s="4" t="s">
        <v>53</v>
      </c>
    </row>
    <row r="2" spans="1:5" x14ac:dyDescent="0.25">
      <c r="A2" s="13" t="s">
        <v>54</v>
      </c>
      <c r="B2" s="13">
        <v>4</v>
      </c>
      <c r="C2" s="13"/>
      <c r="D2" s="13" t="s">
        <v>55</v>
      </c>
      <c r="E2" s="13">
        <v>1</v>
      </c>
    </row>
    <row r="3" spans="1:5" x14ac:dyDescent="0.25">
      <c r="A3" s="13" t="s">
        <v>56</v>
      </c>
      <c r="B3" s="13">
        <v>3</v>
      </c>
      <c r="C3" s="13"/>
      <c r="D3" s="13" t="s">
        <v>57</v>
      </c>
      <c r="E3" s="13">
        <v>0.5</v>
      </c>
    </row>
    <row r="4" spans="1:5" x14ac:dyDescent="0.25">
      <c r="A4" s="13" t="s">
        <v>58</v>
      </c>
      <c r="B4" s="13">
        <v>2</v>
      </c>
      <c r="C4" s="13"/>
      <c r="D4" s="13" t="s">
        <v>59</v>
      </c>
      <c r="E4" s="13">
        <v>0</v>
      </c>
    </row>
    <row r="5" spans="1:5" x14ac:dyDescent="0.25">
      <c r="A5" s="13" t="s">
        <v>60</v>
      </c>
      <c r="B5" s="13">
        <v>1</v>
      </c>
      <c r="C5" s="13"/>
      <c r="D5" s="13" t="s">
        <v>61</v>
      </c>
      <c r="E5" s="13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zoomScaleNormal="100" workbookViewId="0">
      <selection activeCell="O8" sqref="O8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58" customWidth="1"/>
    <col min="4" max="4" width="14" customWidth="1"/>
    <col min="5" max="5" width="15" customWidth="1"/>
    <col min="6" max="6" width="12" customWidth="1"/>
    <col min="7" max="7" width="10" customWidth="1"/>
    <col min="8" max="8" width="15.85546875" bestFit="1" customWidth="1"/>
    <col min="9" max="9" width="17.140625" bestFit="1" customWidth="1"/>
    <col min="10" max="10" width="16" customWidth="1"/>
    <col min="11" max="11" width="13" customWidth="1"/>
  </cols>
  <sheetData>
    <row r="1" spans="1:11" ht="31.5" customHeight="1" x14ac:dyDescent="0.25">
      <c r="A1" s="6" t="s">
        <v>62</v>
      </c>
      <c r="B1" s="6" t="s">
        <v>63</v>
      </c>
      <c r="C1" s="6" t="s">
        <v>64</v>
      </c>
      <c r="D1" s="6" t="s">
        <v>52</v>
      </c>
      <c r="E1" s="6" t="s">
        <v>65</v>
      </c>
      <c r="F1" s="6" t="s">
        <v>32</v>
      </c>
      <c r="G1" s="6" t="s">
        <v>33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 ht="25.5" x14ac:dyDescent="0.25">
      <c r="A2" s="14">
        <v>1</v>
      </c>
      <c r="B2" s="7" t="s">
        <v>70</v>
      </c>
      <c r="C2" s="15" t="s">
        <v>71</v>
      </c>
      <c r="D2" s="14" t="s">
        <v>59</v>
      </c>
      <c r="E2" s="14" t="s">
        <v>58</v>
      </c>
      <c r="F2" s="14">
        <f>IF(D2="N/A",0,INDEX(Reference!$B$2:$B$5,MATCH(E2,Reference!$A$2:$A$5,0))*INDEX(Reference!$E$2:$E$5,MATCH(D2,Reference!$D$2:$D$5,0)))</f>
        <v>0</v>
      </c>
      <c r="G2" s="14">
        <f>IF(D2="N/A",0,INDEX(Reference!$B$2:$B$5,MATCH(E2,Reference!$A$2:$A$5,0)))</f>
        <v>2</v>
      </c>
      <c r="H2" s="15"/>
      <c r="I2" s="15"/>
      <c r="J2" s="7"/>
      <c r="K2" s="14"/>
    </row>
    <row r="3" spans="1:11" ht="25.5" x14ac:dyDescent="0.25">
      <c r="A3" s="14">
        <v>2</v>
      </c>
      <c r="B3" s="7" t="s">
        <v>70</v>
      </c>
      <c r="C3" s="15" t="s">
        <v>72</v>
      </c>
      <c r="D3" s="14" t="s">
        <v>59</v>
      </c>
      <c r="E3" s="14" t="s">
        <v>58</v>
      </c>
      <c r="F3" s="14">
        <f>IF(D3="N/A",0,INDEX(Reference!$B$2:$B$5,MATCH(E3,Reference!$A$2:$A$5,0))*INDEX(Reference!$E$2:$E$5,MATCH(D3,Reference!$D$2:$D$5,0)))</f>
        <v>0</v>
      </c>
      <c r="G3" s="14">
        <f>IF(D3="N/A",0,INDEX(Reference!$B$2:$B$5,MATCH(E3,Reference!$A$2:$A$5,0)))</f>
        <v>2</v>
      </c>
      <c r="H3" s="15"/>
      <c r="I3" s="15"/>
      <c r="J3" s="7"/>
      <c r="K3" s="14"/>
    </row>
    <row r="4" spans="1:11" ht="25.5" x14ac:dyDescent="0.25">
      <c r="A4" s="14">
        <v>3</v>
      </c>
      <c r="B4" s="7" t="s">
        <v>70</v>
      </c>
      <c r="C4" s="15" t="s">
        <v>73</v>
      </c>
      <c r="D4" s="14" t="s">
        <v>59</v>
      </c>
      <c r="E4" s="14" t="s">
        <v>58</v>
      </c>
      <c r="F4" s="14">
        <f>IF(D4="N/A",0,INDEX(Reference!$B$2:$B$5,MATCH(E4,Reference!$A$2:$A$5,0))*INDEX(Reference!$E$2:$E$5,MATCH(D4,Reference!$D$2:$D$5,0)))</f>
        <v>0</v>
      </c>
      <c r="G4" s="14">
        <f>IF(D4="N/A",0,INDEX(Reference!$B$2:$B$5,MATCH(E4,Reference!$A$2:$A$5,0)))</f>
        <v>2</v>
      </c>
      <c r="H4" s="15"/>
      <c r="I4" s="15"/>
      <c r="J4" s="7"/>
      <c r="K4" s="14"/>
    </row>
    <row r="5" spans="1:11" ht="25.5" x14ac:dyDescent="0.25">
      <c r="A5" s="14">
        <v>4</v>
      </c>
      <c r="B5" s="7" t="s">
        <v>70</v>
      </c>
      <c r="C5" s="15" t="s">
        <v>74</v>
      </c>
      <c r="D5" s="14" t="s">
        <v>59</v>
      </c>
      <c r="E5" s="14" t="s">
        <v>58</v>
      </c>
      <c r="F5" s="14">
        <f>IF(D5="N/A",0,INDEX(Reference!$B$2:$B$5,MATCH(E5,Reference!$A$2:$A$5,0))*INDEX(Reference!$E$2:$E$5,MATCH(D5,Reference!$D$2:$D$5,0)))</f>
        <v>0</v>
      </c>
      <c r="G5" s="14">
        <f>IF(D5="N/A",0,INDEX(Reference!$B$2:$B$5,MATCH(E5,Reference!$A$2:$A$5,0)))</f>
        <v>2</v>
      </c>
      <c r="H5" s="15"/>
      <c r="I5" s="15"/>
      <c r="J5" s="7"/>
      <c r="K5" s="14"/>
    </row>
    <row r="6" spans="1:11" ht="25.5" x14ac:dyDescent="0.25">
      <c r="A6" s="14">
        <v>5</v>
      </c>
      <c r="B6" s="7" t="s">
        <v>70</v>
      </c>
      <c r="C6" s="15" t="s">
        <v>75</v>
      </c>
      <c r="D6" s="14" t="s">
        <v>59</v>
      </c>
      <c r="E6" s="14" t="s">
        <v>58</v>
      </c>
      <c r="F6" s="14">
        <f>IF(D6="N/A",0,INDEX(Reference!$B$2:$B$5,MATCH(E6,Reference!$A$2:$A$5,0))*INDEX(Reference!$E$2:$E$5,MATCH(D6,Reference!$D$2:$D$5,0)))</f>
        <v>0</v>
      </c>
      <c r="G6" s="14">
        <f>IF(D6="N/A",0,INDEX(Reference!$B$2:$B$5,MATCH(E6,Reference!$A$2:$A$5,0)))</f>
        <v>2</v>
      </c>
      <c r="H6" s="15"/>
      <c r="I6" s="15"/>
      <c r="J6" s="7"/>
      <c r="K6" s="14"/>
    </row>
    <row r="7" spans="1:11" ht="25.5" x14ac:dyDescent="0.25">
      <c r="A7" s="14">
        <v>6</v>
      </c>
      <c r="B7" s="7" t="s">
        <v>70</v>
      </c>
      <c r="C7" s="15" t="s">
        <v>76</v>
      </c>
      <c r="D7" s="14" t="s">
        <v>59</v>
      </c>
      <c r="E7" s="14" t="s">
        <v>58</v>
      </c>
      <c r="F7" s="14">
        <f>IF(D7="N/A",0,INDEX(Reference!$B$2:$B$5,MATCH(E7,Reference!$A$2:$A$5,0))*INDEX(Reference!$E$2:$E$5,MATCH(D7,Reference!$D$2:$D$5,0)))</f>
        <v>0</v>
      </c>
      <c r="G7" s="14">
        <f>IF(D7="N/A",0,INDEX(Reference!$B$2:$B$5,MATCH(E7,Reference!$A$2:$A$5,0)))</f>
        <v>2</v>
      </c>
      <c r="H7" s="15"/>
      <c r="I7" s="15"/>
      <c r="J7" s="7"/>
      <c r="K7" s="14"/>
    </row>
    <row r="8" spans="1:11" ht="25.5" x14ac:dyDescent="0.25">
      <c r="A8" s="14">
        <v>7</v>
      </c>
      <c r="B8" s="7" t="s">
        <v>77</v>
      </c>
      <c r="C8" s="15" t="s">
        <v>78</v>
      </c>
      <c r="D8" s="14" t="s">
        <v>59</v>
      </c>
      <c r="E8" s="14" t="s">
        <v>58</v>
      </c>
      <c r="F8" s="14">
        <f>IF(D8="N/A",0,INDEX(Reference!$B$2:$B$5,MATCH(E8,Reference!$A$2:$A$5,0))*INDEX(Reference!$E$2:$E$5,MATCH(D8,Reference!$D$2:$D$5,0)))</f>
        <v>0</v>
      </c>
      <c r="G8" s="14">
        <f>IF(D8="N/A",0,INDEX(Reference!$B$2:$B$5,MATCH(E8,Reference!$A$2:$A$5,0)))</f>
        <v>2</v>
      </c>
      <c r="H8" s="15"/>
      <c r="I8" s="15"/>
      <c r="J8" s="7"/>
      <c r="K8" s="14"/>
    </row>
    <row r="9" spans="1:11" ht="25.5" x14ac:dyDescent="0.25">
      <c r="A9" s="14">
        <v>8</v>
      </c>
      <c r="B9" s="7" t="s">
        <v>79</v>
      </c>
      <c r="C9" s="15" t="s">
        <v>80</v>
      </c>
      <c r="D9" s="14" t="s">
        <v>59</v>
      </c>
      <c r="E9" s="14" t="s">
        <v>58</v>
      </c>
      <c r="F9" s="14">
        <f>IF(D9="N/A",0,INDEX(Reference!$B$2:$B$5,MATCH(E9,Reference!$A$2:$A$5,0))*INDEX(Reference!$E$2:$E$5,MATCH(D9,Reference!$D$2:$D$5,0)))</f>
        <v>0</v>
      </c>
      <c r="G9" s="14">
        <f>IF(D9="N/A",0,INDEX(Reference!$B$2:$B$5,MATCH(E9,Reference!$A$2:$A$5,0)))</f>
        <v>2</v>
      </c>
      <c r="H9" s="15"/>
      <c r="I9" s="15"/>
      <c r="J9" s="7"/>
      <c r="K9" s="14"/>
    </row>
  </sheetData>
  <conditionalFormatting sqref="D2:D9">
    <cfRule type="cellIs" dxfId="35" priority="2" operator="equal">
      <formula>"Conforme"</formula>
    </cfRule>
    <cfRule type="cellIs" dxfId="34" priority="3" operator="equal">
      <formula>"Partiel"</formula>
    </cfRule>
    <cfRule type="cellIs" dxfId="33" priority="4" operator="equal">
      <formula>"Non conforme"</formula>
    </cfRule>
    <cfRule type="cellIs" dxfId="32" priority="5" operator="equal">
      <formula>"N/A"</formula>
    </cfRule>
  </conditionalFormatting>
  <dataValidations disablePrompts="1" count="2">
    <dataValidation type="list" error="Choisir une valeur dans la liste" prompt="Conforme / Partiel / Non conforme / N/A" sqref="D2:D9">
      <formula1>"Conforme,Partiel,Non conforme,N/A"</formula1>
      <formula2>0</formula2>
    </dataValidation>
    <dataValidation type="list" prompt="Critique / Élevé / Moyen / Faible" sqref="E2:E9">
      <formula1>"Critique,Élevé,Moyen,Faible"</formula1>
      <formula2>0</formula2>
    </dataValidation>
  </dataValidations>
  <pageMargins left="0.3" right="0.3" top="0.5" bottom="0.5" header="0.2" footer="0.2"/>
  <pageSetup paperSize="9" scale="72" fitToHeight="0" orientation="landscape" horizontalDpi="300" verticalDpi="300" r:id="rId1"/>
  <headerFooter>
    <oddHeader>&amp;L&amp;"Calibri,Gras"&amp;9 Citadel IT Solutions&amp;R&amp;9 Page &amp;P / &amp;N</oddHeader>
    <oddFooter>&amp;C&amp;"Calibri,Italique"&amp;8 Citadel IT Solutions - Conseil IT, Cloud &amp;&amp; Cybersécurité - Lomé, Togo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"/>
  <sheetViews>
    <sheetView zoomScaleNormal="100" workbookViewId="0">
      <selection activeCell="D28" sqref="D28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58" customWidth="1"/>
    <col min="4" max="4" width="14" customWidth="1"/>
    <col min="5" max="5" width="15" customWidth="1"/>
    <col min="6" max="6" width="12" customWidth="1"/>
    <col min="7" max="7" width="10" customWidth="1"/>
    <col min="8" max="8" width="15.85546875" bestFit="1" customWidth="1"/>
    <col min="9" max="9" width="17.140625" bestFit="1" customWidth="1"/>
    <col min="10" max="10" width="16" customWidth="1"/>
    <col min="11" max="11" width="13" customWidth="1"/>
  </cols>
  <sheetData>
    <row r="1" spans="1:11" ht="31.5" customHeight="1" x14ac:dyDescent="0.25">
      <c r="A1" s="6" t="s">
        <v>62</v>
      </c>
      <c r="B1" s="6" t="s">
        <v>63</v>
      </c>
      <c r="C1" s="6" t="s">
        <v>64</v>
      </c>
      <c r="D1" s="6" t="s">
        <v>52</v>
      </c>
      <c r="E1" s="6" t="s">
        <v>65</v>
      </c>
      <c r="F1" s="6" t="s">
        <v>32</v>
      </c>
      <c r="G1" s="6" t="s">
        <v>33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 ht="38.25" x14ac:dyDescent="0.25">
      <c r="A2" s="14">
        <v>1</v>
      </c>
      <c r="B2" s="7" t="s">
        <v>81</v>
      </c>
      <c r="C2" s="15" t="s">
        <v>82</v>
      </c>
      <c r="D2" s="14" t="s">
        <v>59</v>
      </c>
      <c r="E2" s="14" t="s">
        <v>58</v>
      </c>
      <c r="F2" s="14">
        <f>IF(D2="N/A",0,INDEX(Reference!$B$2:$B$5,MATCH(E2,Reference!$A$2:$A$5,0))*INDEX(Reference!$E$2:$E$5,MATCH(D2,Reference!$D$2:$D$5,0)))</f>
        <v>0</v>
      </c>
      <c r="G2" s="14">
        <f>IF(D2="N/A",0,INDEX(Reference!$B$2:$B$5,MATCH(E2,Reference!$A$2:$A$5,0)))</f>
        <v>2</v>
      </c>
      <c r="H2" s="15"/>
      <c r="I2" s="15"/>
      <c r="J2" s="7"/>
      <c r="K2" s="14"/>
    </row>
    <row r="3" spans="1:11" ht="25.5" x14ac:dyDescent="0.25">
      <c r="A3" s="14">
        <v>2</v>
      </c>
      <c r="B3" s="7" t="s">
        <v>81</v>
      </c>
      <c r="C3" s="15" t="s">
        <v>83</v>
      </c>
      <c r="D3" s="14" t="s">
        <v>59</v>
      </c>
      <c r="E3" s="14" t="s">
        <v>58</v>
      </c>
      <c r="F3" s="14">
        <f>IF(D3="N/A",0,INDEX(Reference!$B$2:$B$5,MATCH(E3,Reference!$A$2:$A$5,0))*INDEX(Reference!$E$2:$E$5,MATCH(D3,Reference!$D$2:$D$5,0)))</f>
        <v>0</v>
      </c>
      <c r="G3" s="14">
        <f>IF(D3="N/A",0,INDEX(Reference!$B$2:$B$5,MATCH(E3,Reference!$A$2:$A$5,0)))</f>
        <v>2</v>
      </c>
      <c r="H3" s="15"/>
      <c r="I3" s="15"/>
      <c r="J3" s="7"/>
      <c r="K3" s="14"/>
    </row>
    <row r="4" spans="1:11" ht="25.5" x14ac:dyDescent="0.25">
      <c r="A4" s="14">
        <v>3</v>
      </c>
      <c r="B4" s="7" t="s">
        <v>81</v>
      </c>
      <c r="C4" s="15" t="s">
        <v>84</v>
      </c>
      <c r="D4" s="14" t="s">
        <v>59</v>
      </c>
      <c r="E4" s="14" t="s">
        <v>58</v>
      </c>
      <c r="F4" s="14">
        <f>IF(D4="N/A",0,INDEX(Reference!$B$2:$B$5,MATCH(E4,Reference!$A$2:$A$5,0))*INDEX(Reference!$E$2:$E$5,MATCH(D4,Reference!$D$2:$D$5,0)))</f>
        <v>0</v>
      </c>
      <c r="G4" s="14">
        <f>IF(D4="N/A",0,INDEX(Reference!$B$2:$B$5,MATCH(E4,Reference!$A$2:$A$5,0)))</f>
        <v>2</v>
      </c>
      <c r="H4" s="15"/>
      <c r="I4" s="15"/>
      <c r="J4" s="7"/>
      <c r="K4" s="14"/>
    </row>
    <row r="5" spans="1:11" ht="25.5" x14ac:dyDescent="0.25">
      <c r="A5" s="14">
        <v>4</v>
      </c>
      <c r="B5" s="7" t="s">
        <v>81</v>
      </c>
      <c r="C5" s="15" t="s">
        <v>85</v>
      </c>
      <c r="D5" s="14" t="s">
        <v>59</v>
      </c>
      <c r="E5" s="14" t="s">
        <v>58</v>
      </c>
      <c r="F5" s="14">
        <f>IF(D5="N/A",0,INDEX(Reference!$B$2:$B$5,MATCH(E5,Reference!$A$2:$A$5,0))*INDEX(Reference!$E$2:$E$5,MATCH(D5,Reference!$D$2:$D$5,0)))</f>
        <v>0</v>
      </c>
      <c r="G5" s="14">
        <f>IF(D5="N/A",0,INDEX(Reference!$B$2:$B$5,MATCH(E5,Reference!$A$2:$A$5,0)))</f>
        <v>2</v>
      </c>
      <c r="H5" s="15"/>
      <c r="I5" s="15"/>
      <c r="J5" s="7"/>
      <c r="K5" s="14"/>
    </row>
    <row r="6" spans="1:11" ht="25.5" x14ac:dyDescent="0.25">
      <c r="A6" s="14">
        <v>5</v>
      </c>
      <c r="B6" s="7" t="s">
        <v>86</v>
      </c>
      <c r="C6" s="15" t="s">
        <v>87</v>
      </c>
      <c r="D6" s="14" t="s">
        <v>59</v>
      </c>
      <c r="E6" s="14" t="s">
        <v>58</v>
      </c>
      <c r="F6" s="14">
        <f>IF(D6="N/A",0,INDEX(Reference!$B$2:$B$5,MATCH(E6,Reference!$A$2:$A$5,0))*INDEX(Reference!$E$2:$E$5,MATCH(D6,Reference!$D$2:$D$5,0)))</f>
        <v>0</v>
      </c>
      <c r="G6" s="14">
        <f>IF(D6="N/A",0,INDEX(Reference!$B$2:$B$5,MATCH(E6,Reference!$A$2:$A$5,0)))</f>
        <v>2</v>
      </c>
      <c r="H6" s="15"/>
      <c r="I6" s="15"/>
      <c r="J6" s="7"/>
      <c r="K6" s="14"/>
    </row>
    <row r="7" spans="1:11" x14ac:dyDescent="0.25">
      <c r="A7" s="14">
        <v>6</v>
      </c>
      <c r="B7" s="7" t="s">
        <v>86</v>
      </c>
      <c r="C7" s="15" t="s">
        <v>88</v>
      </c>
      <c r="D7" s="14" t="s">
        <v>59</v>
      </c>
      <c r="E7" s="14" t="s">
        <v>58</v>
      </c>
      <c r="F7" s="14">
        <f>IF(D7="N/A",0,INDEX(Reference!$B$2:$B$5,MATCH(E7,Reference!$A$2:$A$5,0))*INDEX(Reference!$E$2:$E$5,MATCH(D7,Reference!$D$2:$D$5,0)))</f>
        <v>0</v>
      </c>
      <c r="G7" s="14">
        <f>IF(D7="N/A",0,INDEX(Reference!$B$2:$B$5,MATCH(E7,Reference!$A$2:$A$5,0)))</f>
        <v>2</v>
      </c>
      <c r="H7" s="15"/>
      <c r="I7" s="15"/>
      <c r="J7" s="7"/>
      <c r="K7" s="14"/>
    </row>
    <row r="8" spans="1:11" x14ac:dyDescent="0.25">
      <c r="A8" s="14">
        <v>7</v>
      </c>
      <c r="B8" s="7" t="s">
        <v>86</v>
      </c>
      <c r="C8" s="15" t="s">
        <v>89</v>
      </c>
      <c r="D8" s="14" t="s">
        <v>59</v>
      </c>
      <c r="E8" s="14" t="s">
        <v>58</v>
      </c>
      <c r="F8" s="14">
        <f>IF(D8="N/A",0,INDEX(Reference!$B$2:$B$5,MATCH(E8,Reference!$A$2:$A$5,0))*INDEX(Reference!$E$2:$E$5,MATCH(D8,Reference!$D$2:$D$5,0)))</f>
        <v>0</v>
      </c>
      <c r="G8" s="14">
        <f>IF(D8="N/A",0,INDEX(Reference!$B$2:$B$5,MATCH(E8,Reference!$A$2:$A$5,0)))</f>
        <v>2</v>
      </c>
      <c r="H8" s="15"/>
      <c r="I8" s="15"/>
      <c r="J8" s="7"/>
      <c r="K8" s="14"/>
    </row>
    <row r="9" spans="1:11" ht="38.25" x14ac:dyDescent="0.25">
      <c r="A9" s="14">
        <v>8</v>
      </c>
      <c r="B9" s="7" t="s">
        <v>86</v>
      </c>
      <c r="C9" s="15" t="s">
        <v>90</v>
      </c>
      <c r="D9" s="14" t="s">
        <v>59</v>
      </c>
      <c r="E9" s="14" t="s">
        <v>58</v>
      </c>
      <c r="F9" s="14">
        <f>IF(D9="N/A",0,INDEX(Reference!$B$2:$B$5,MATCH(E9,Reference!$A$2:$A$5,0))*INDEX(Reference!$E$2:$E$5,MATCH(D9,Reference!$D$2:$D$5,0)))</f>
        <v>0</v>
      </c>
      <c r="G9" s="14">
        <f>IF(D9="N/A",0,INDEX(Reference!$B$2:$B$5,MATCH(E9,Reference!$A$2:$A$5,0)))</f>
        <v>2</v>
      </c>
      <c r="H9" s="15"/>
      <c r="I9" s="15"/>
      <c r="J9" s="7"/>
      <c r="K9" s="14"/>
    </row>
    <row r="10" spans="1:11" ht="38.25" x14ac:dyDescent="0.25">
      <c r="A10" s="14">
        <v>9</v>
      </c>
      <c r="B10" s="7" t="s">
        <v>91</v>
      </c>
      <c r="C10" s="16" t="s">
        <v>205</v>
      </c>
      <c r="D10" s="14" t="s">
        <v>59</v>
      </c>
      <c r="E10" s="14" t="s">
        <v>58</v>
      </c>
      <c r="F10" s="14">
        <f>IF(D10="N/A",0,INDEX(Reference!$B$2:$B$5,MATCH(E10,Reference!$A$2:$A$5,0))*INDEX(Reference!$E$2:$E$5,MATCH(D10,Reference!$D$2:$D$5,0)))</f>
        <v>0</v>
      </c>
      <c r="G10" s="14">
        <f>IF(D10="N/A",0,INDEX(Reference!$B$2:$B$5,MATCH(E10,Reference!$A$2:$A$5,0)))</f>
        <v>2</v>
      </c>
      <c r="H10" s="15"/>
      <c r="I10" s="15"/>
      <c r="J10" s="7"/>
      <c r="K10" s="14"/>
    </row>
    <row r="11" spans="1:11" x14ac:dyDescent="0.25">
      <c r="A11" s="14">
        <v>10</v>
      </c>
      <c r="B11" s="7" t="s">
        <v>91</v>
      </c>
      <c r="C11" s="15" t="s">
        <v>92</v>
      </c>
      <c r="D11" s="14" t="s">
        <v>59</v>
      </c>
      <c r="E11" s="14" t="s">
        <v>58</v>
      </c>
      <c r="F11" s="14">
        <f>IF(D11="N/A",0,INDEX(Reference!$B$2:$B$5,MATCH(E11,Reference!$A$2:$A$5,0))*INDEX(Reference!$E$2:$E$5,MATCH(D11,Reference!$D$2:$D$5,0)))</f>
        <v>0</v>
      </c>
      <c r="G11" s="14">
        <f>IF(D11="N/A",0,INDEX(Reference!$B$2:$B$5,MATCH(E11,Reference!$A$2:$A$5,0)))</f>
        <v>2</v>
      </c>
      <c r="H11" s="15"/>
      <c r="I11" s="15"/>
      <c r="J11" s="7"/>
      <c r="K11" s="14"/>
    </row>
    <row r="12" spans="1:11" x14ac:dyDescent="0.25">
      <c r="A12" s="14">
        <v>11</v>
      </c>
      <c r="B12" s="7" t="s">
        <v>93</v>
      </c>
      <c r="C12" s="15" t="s">
        <v>94</v>
      </c>
      <c r="D12" s="14" t="s">
        <v>59</v>
      </c>
      <c r="E12" s="14" t="s">
        <v>58</v>
      </c>
      <c r="F12" s="14">
        <f>IF(D12="N/A",0,INDEX(Reference!$B$2:$B$5,MATCH(E12,Reference!$A$2:$A$5,0))*INDEX(Reference!$E$2:$E$5,MATCH(D12,Reference!$D$2:$D$5,0)))</f>
        <v>0</v>
      </c>
      <c r="G12" s="14">
        <f>IF(D12="N/A",0,INDEX(Reference!$B$2:$B$5,MATCH(E12,Reference!$A$2:$A$5,0)))</f>
        <v>2</v>
      </c>
      <c r="H12" s="15"/>
      <c r="I12" s="15"/>
      <c r="J12" s="7"/>
      <c r="K12" s="14"/>
    </row>
    <row r="13" spans="1:11" ht="25.5" x14ac:dyDescent="0.25">
      <c r="A13" s="14">
        <v>12</v>
      </c>
      <c r="B13" s="7" t="s">
        <v>93</v>
      </c>
      <c r="C13" s="15" t="s">
        <v>95</v>
      </c>
      <c r="D13" s="14" t="s">
        <v>59</v>
      </c>
      <c r="E13" s="14" t="s">
        <v>58</v>
      </c>
      <c r="F13" s="14">
        <f>IF(D13="N/A",0,INDEX(Reference!$B$2:$B$5,MATCH(E13,Reference!$A$2:$A$5,0))*INDEX(Reference!$E$2:$E$5,MATCH(D13,Reference!$D$2:$D$5,0)))</f>
        <v>0</v>
      </c>
      <c r="G13" s="14">
        <f>IF(D13="N/A",0,INDEX(Reference!$B$2:$B$5,MATCH(E13,Reference!$A$2:$A$5,0)))</f>
        <v>2</v>
      </c>
      <c r="H13" s="15"/>
      <c r="I13" s="15"/>
      <c r="J13" s="7"/>
      <c r="K13" s="14"/>
    </row>
    <row r="14" spans="1:11" x14ac:dyDescent="0.25">
      <c r="A14" s="14">
        <v>13</v>
      </c>
      <c r="B14" s="7" t="s">
        <v>96</v>
      </c>
      <c r="C14" s="15" t="s">
        <v>97</v>
      </c>
      <c r="D14" s="14" t="s">
        <v>59</v>
      </c>
      <c r="E14" s="14" t="s">
        <v>58</v>
      </c>
      <c r="F14" s="14">
        <f>IF(D14="N/A",0,INDEX(Reference!$B$2:$B$5,MATCH(E14,Reference!$A$2:$A$5,0))*INDEX(Reference!$E$2:$E$5,MATCH(D14,Reference!$D$2:$D$5,0)))</f>
        <v>0</v>
      </c>
      <c r="G14" s="14">
        <f>IF(D14="N/A",0,INDEX(Reference!$B$2:$B$5,MATCH(E14,Reference!$A$2:$A$5,0)))</f>
        <v>2</v>
      </c>
      <c r="H14" s="15"/>
      <c r="I14" s="15"/>
      <c r="J14" s="7"/>
      <c r="K14" s="14"/>
    </row>
    <row r="15" spans="1:11" ht="25.5" x14ac:dyDescent="0.25">
      <c r="A15" s="14">
        <v>14</v>
      </c>
      <c r="B15" s="7" t="s">
        <v>98</v>
      </c>
      <c r="C15" s="15" t="s">
        <v>99</v>
      </c>
      <c r="D15" s="14" t="s">
        <v>59</v>
      </c>
      <c r="E15" s="14" t="s">
        <v>58</v>
      </c>
      <c r="F15" s="14">
        <f>IF(D15="N/A",0,INDEX(Reference!$B$2:$B$5,MATCH(E15,Reference!$A$2:$A$5,0))*INDEX(Reference!$E$2:$E$5,MATCH(D15,Reference!$D$2:$D$5,0)))</f>
        <v>0</v>
      </c>
      <c r="G15" s="14">
        <f>IF(D15="N/A",0,INDEX(Reference!$B$2:$B$5,MATCH(E15,Reference!$A$2:$A$5,0)))</f>
        <v>2</v>
      </c>
      <c r="H15" s="15"/>
      <c r="I15" s="15"/>
      <c r="J15" s="7"/>
      <c r="K15" s="14"/>
    </row>
    <row r="16" spans="1:11" ht="25.5" x14ac:dyDescent="0.25">
      <c r="A16" s="14">
        <v>15</v>
      </c>
      <c r="B16" s="7" t="s">
        <v>98</v>
      </c>
      <c r="C16" s="15" t="s">
        <v>100</v>
      </c>
      <c r="D16" s="14" t="s">
        <v>59</v>
      </c>
      <c r="E16" s="14" t="s">
        <v>58</v>
      </c>
      <c r="F16" s="14">
        <f>IF(D16="N/A",0,INDEX(Reference!$B$2:$B$5,MATCH(E16,Reference!$A$2:$A$5,0))*INDEX(Reference!$E$2:$E$5,MATCH(D16,Reference!$D$2:$D$5,0)))</f>
        <v>0</v>
      </c>
      <c r="G16" s="14">
        <f>IF(D16="N/A",0,INDEX(Reference!$B$2:$B$5,MATCH(E16,Reference!$A$2:$A$5,0)))</f>
        <v>2</v>
      </c>
      <c r="H16" s="15"/>
      <c r="I16" s="15"/>
      <c r="J16" s="7"/>
      <c r="K16" s="14"/>
    </row>
    <row r="17" spans="1:11" ht="38.25" x14ac:dyDescent="0.25">
      <c r="A17" s="14">
        <v>16</v>
      </c>
      <c r="B17" s="7" t="s">
        <v>98</v>
      </c>
      <c r="C17" s="15" t="s">
        <v>101</v>
      </c>
      <c r="D17" s="14" t="s">
        <v>59</v>
      </c>
      <c r="E17" s="14" t="s">
        <v>58</v>
      </c>
      <c r="F17" s="14">
        <f>IF(D17="N/A",0,INDEX(Reference!$B$2:$B$5,MATCH(E17,Reference!$A$2:$A$5,0))*INDEX(Reference!$E$2:$E$5,MATCH(D17,Reference!$D$2:$D$5,0)))</f>
        <v>0</v>
      </c>
      <c r="G17" s="14">
        <f>IF(D17="N/A",0,INDEX(Reference!$B$2:$B$5,MATCH(E17,Reference!$A$2:$A$5,0)))</f>
        <v>2</v>
      </c>
      <c r="H17" s="15"/>
      <c r="I17" s="15"/>
      <c r="J17" s="7"/>
      <c r="K17" s="14"/>
    </row>
    <row r="18" spans="1:11" ht="25.5" x14ac:dyDescent="0.25">
      <c r="A18" s="14">
        <v>17</v>
      </c>
      <c r="B18" s="7" t="s">
        <v>98</v>
      </c>
      <c r="C18" s="15" t="s">
        <v>102</v>
      </c>
      <c r="D18" s="14" t="s">
        <v>59</v>
      </c>
      <c r="E18" s="14" t="s">
        <v>58</v>
      </c>
      <c r="F18" s="14">
        <f>IF(D18="N/A",0,INDEX(Reference!$B$2:$B$5,MATCH(E18,Reference!$A$2:$A$5,0))*INDEX(Reference!$E$2:$E$5,MATCH(D18,Reference!$D$2:$D$5,0)))</f>
        <v>0</v>
      </c>
      <c r="G18" s="14">
        <f>IF(D18="N/A",0,INDEX(Reference!$B$2:$B$5,MATCH(E18,Reference!$A$2:$A$5,0)))</f>
        <v>2</v>
      </c>
      <c r="H18" s="15"/>
      <c r="I18" s="15"/>
      <c r="J18" s="7"/>
      <c r="K18" s="14"/>
    </row>
  </sheetData>
  <conditionalFormatting sqref="D2:D18">
    <cfRule type="cellIs" dxfId="31" priority="2" operator="equal">
      <formula>"Conforme"</formula>
    </cfRule>
    <cfRule type="cellIs" dxfId="30" priority="3" operator="equal">
      <formula>"Partiel"</formula>
    </cfRule>
    <cfRule type="cellIs" dxfId="29" priority="4" operator="equal">
      <formula>"Non conforme"</formula>
    </cfRule>
    <cfRule type="cellIs" dxfId="28" priority="5" operator="equal">
      <formula>"N/A"</formula>
    </cfRule>
  </conditionalFormatting>
  <dataValidations disablePrompts="1" count="2">
    <dataValidation type="list" error="Choisir une valeur dans la liste" prompt="Conforme / Partiel / Non conforme / N/A" sqref="D2:D18">
      <formula1>"Conforme,Partiel,Non conforme,N/A"</formula1>
      <formula2>0</formula2>
    </dataValidation>
    <dataValidation type="list" prompt="Critique / Élevé / Moyen / Faible" sqref="E2:E18">
      <formula1>"Critique,Élevé,Moyen,Faible"</formula1>
      <formula2>0</formula2>
    </dataValidation>
  </dataValidations>
  <pageMargins left="0.3" right="0.3" top="0.5" bottom="0.5" header="0.2" footer="0.2"/>
  <pageSetup paperSize="9" scale="72" fitToHeight="0" orientation="landscape" horizontalDpi="300" verticalDpi="300" r:id="rId1"/>
  <headerFooter>
    <oddHeader>&amp;L&amp;"Calibri,Gras"&amp;9 Citadel IT Solutions&amp;R&amp;9 Page &amp;P / &amp;N</oddHeader>
    <oddFooter>&amp;C&amp;"Calibri,Italique"&amp;8 Citadel IT Solutions - Conseil IT, Cloud &amp;&amp; Cybersécurité - Lomé, Togo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zoomScaleNormal="100" workbookViewId="0">
      <selection activeCell="C27" sqref="C27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58" customWidth="1"/>
    <col min="4" max="4" width="14" customWidth="1"/>
    <col min="5" max="5" width="15" customWidth="1"/>
    <col min="6" max="6" width="12" customWidth="1"/>
    <col min="7" max="7" width="10" customWidth="1"/>
    <col min="8" max="8" width="15.85546875" bestFit="1" customWidth="1"/>
    <col min="9" max="9" width="17.140625" bestFit="1" customWidth="1"/>
    <col min="10" max="10" width="16" customWidth="1"/>
    <col min="11" max="11" width="13" customWidth="1"/>
  </cols>
  <sheetData>
    <row r="1" spans="1:11" ht="31.5" customHeight="1" x14ac:dyDescent="0.25">
      <c r="A1" s="6" t="s">
        <v>62</v>
      </c>
      <c r="B1" s="6" t="s">
        <v>63</v>
      </c>
      <c r="C1" s="6" t="s">
        <v>64</v>
      </c>
      <c r="D1" s="6" t="s">
        <v>52</v>
      </c>
      <c r="E1" s="6" t="s">
        <v>65</v>
      </c>
      <c r="F1" s="6" t="s">
        <v>32</v>
      </c>
      <c r="G1" s="6" t="s">
        <v>33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 x14ac:dyDescent="0.25">
      <c r="A2" s="14">
        <v>1</v>
      </c>
      <c r="B2" s="7" t="s">
        <v>103</v>
      </c>
      <c r="C2" s="15" t="s">
        <v>104</v>
      </c>
      <c r="D2" s="14" t="s">
        <v>59</v>
      </c>
      <c r="E2" s="14" t="s">
        <v>58</v>
      </c>
      <c r="F2" s="14">
        <f>IF(D2="N/A",0,INDEX(Reference!$B$2:$B$5,MATCH(E2,Reference!$A$2:$A$5,0))*INDEX(Reference!$E$2:$E$5,MATCH(D2,Reference!$D$2:$D$5,0)))</f>
        <v>0</v>
      </c>
      <c r="G2" s="14">
        <f>IF(D2="N/A",0,INDEX(Reference!$B$2:$B$5,MATCH(E2,Reference!$A$2:$A$5,0)))</f>
        <v>2</v>
      </c>
      <c r="H2" s="15"/>
      <c r="I2" s="15"/>
      <c r="J2" s="7"/>
      <c r="K2" s="14"/>
    </row>
    <row r="3" spans="1:11" ht="25.5" x14ac:dyDescent="0.25">
      <c r="A3" s="14">
        <v>2</v>
      </c>
      <c r="B3" s="7" t="s">
        <v>105</v>
      </c>
      <c r="C3" s="15" t="s">
        <v>106</v>
      </c>
      <c r="D3" s="14" t="s">
        <v>59</v>
      </c>
      <c r="E3" s="14" t="s">
        <v>58</v>
      </c>
      <c r="F3" s="14">
        <f>IF(D3="N/A",0,INDEX(Reference!$B$2:$B$5,MATCH(E3,Reference!$A$2:$A$5,0))*INDEX(Reference!$E$2:$E$5,MATCH(D3,Reference!$D$2:$D$5,0)))</f>
        <v>0</v>
      </c>
      <c r="G3" s="14">
        <f>IF(D3="N/A",0,INDEX(Reference!$B$2:$B$5,MATCH(E3,Reference!$A$2:$A$5,0)))</f>
        <v>2</v>
      </c>
      <c r="H3" s="15"/>
      <c r="I3" s="15"/>
      <c r="J3" s="7"/>
      <c r="K3" s="14"/>
    </row>
    <row r="4" spans="1:11" ht="25.5" x14ac:dyDescent="0.25">
      <c r="A4" s="14">
        <v>3</v>
      </c>
      <c r="B4" s="7" t="s">
        <v>107</v>
      </c>
      <c r="C4" s="15" t="s">
        <v>108</v>
      </c>
      <c r="D4" s="14" t="s">
        <v>59</v>
      </c>
      <c r="E4" s="14" t="s">
        <v>58</v>
      </c>
      <c r="F4" s="14">
        <f>IF(D4="N/A",0,INDEX(Reference!$B$2:$B$5,MATCH(E4,Reference!$A$2:$A$5,0))*INDEX(Reference!$E$2:$E$5,MATCH(D4,Reference!$D$2:$D$5,0)))</f>
        <v>0</v>
      </c>
      <c r="G4" s="14">
        <f>IF(D4="N/A",0,INDEX(Reference!$B$2:$B$5,MATCH(E4,Reference!$A$2:$A$5,0)))</f>
        <v>2</v>
      </c>
      <c r="H4" s="15"/>
      <c r="I4" s="15"/>
      <c r="J4" s="7"/>
      <c r="K4" s="14"/>
    </row>
    <row r="5" spans="1:11" ht="25.5" x14ac:dyDescent="0.25">
      <c r="A5" s="14">
        <v>4</v>
      </c>
      <c r="B5" s="7" t="s">
        <v>109</v>
      </c>
      <c r="C5" s="15" t="s">
        <v>110</v>
      </c>
      <c r="D5" s="14" t="s">
        <v>59</v>
      </c>
      <c r="E5" s="14" t="s">
        <v>58</v>
      </c>
      <c r="F5" s="14">
        <f>IF(D5="N/A",0,INDEX(Reference!$B$2:$B$5,MATCH(E5,Reference!$A$2:$A$5,0))*INDEX(Reference!$E$2:$E$5,MATCH(D5,Reference!$D$2:$D$5,0)))</f>
        <v>0</v>
      </c>
      <c r="G5" s="14">
        <f>IF(D5="N/A",0,INDEX(Reference!$B$2:$B$5,MATCH(E5,Reference!$A$2:$A$5,0)))</f>
        <v>2</v>
      </c>
      <c r="H5" s="15"/>
      <c r="I5" s="15"/>
      <c r="J5" s="7"/>
      <c r="K5" s="14"/>
    </row>
    <row r="6" spans="1:11" ht="25.5" x14ac:dyDescent="0.25">
      <c r="A6" s="14">
        <v>5</v>
      </c>
      <c r="B6" s="7" t="s">
        <v>111</v>
      </c>
      <c r="C6" s="15" t="s">
        <v>112</v>
      </c>
      <c r="D6" s="14" t="s">
        <v>59</v>
      </c>
      <c r="E6" s="14" t="s">
        <v>58</v>
      </c>
      <c r="F6" s="14">
        <f>IF(D6="N/A",0,INDEX(Reference!$B$2:$B$5,MATCH(E6,Reference!$A$2:$A$5,0))*INDEX(Reference!$E$2:$E$5,MATCH(D6,Reference!$D$2:$D$5,0)))</f>
        <v>0</v>
      </c>
      <c r="G6" s="14">
        <f>IF(D6="N/A",0,INDEX(Reference!$B$2:$B$5,MATCH(E6,Reference!$A$2:$A$5,0)))</f>
        <v>2</v>
      </c>
      <c r="H6" s="15"/>
      <c r="I6" s="15"/>
      <c r="J6" s="7"/>
      <c r="K6" s="14"/>
    </row>
    <row r="7" spans="1:11" ht="25.5" x14ac:dyDescent="0.25">
      <c r="A7" s="14">
        <v>6</v>
      </c>
      <c r="B7" s="7" t="s">
        <v>111</v>
      </c>
      <c r="C7" s="15" t="s">
        <v>113</v>
      </c>
      <c r="D7" s="14" t="s">
        <v>59</v>
      </c>
      <c r="E7" s="14" t="s">
        <v>58</v>
      </c>
      <c r="F7" s="14">
        <f>IF(D7="N/A",0,INDEX(Reference!$B$2:$B$5,MATCH(E7,Reference!$A$2:$A$5,0))*INDEX(Reference!$E$2:$E$5,MATCH(D7,Reference!$D$2:$D$5,0)))</f>
        <v>0</v>
      </c>
      <c r="G7" s="14">
        <f>IF(D7="N/A",0,INDEX(Reference!$B$2:$B$5,MATCH(E7,Reference!$A$2:$A$5,0)))</f>
        <v>2</v>
      </c>
      <c r="H7" s="15"/>
      <c r="I7" s="15"/>
      <c r="J7" s="7"/>
      <c r="K7" s="14"/>
    </row>
  </sheetData>
  <conditionalFormatting sqref="D2:D7">
    <cfRule type="cellIs" dxfId="27" priority="2" operator="equal">
      <formula>"Conforme"</formula>
    </cfRule>
    <cfRule type="cellIs" dxfId="26" priority="3" operator="equal">
      <formula>"Partiel"</formula>
    </cfRule>
    <cfRule type="cellIs" dxfId="25" priority="4" operator="equal">
      <formula>"Non conforme"</formula>
    </cfRule>
    <cfRule type="cellIs" dxfId="24" priority="5" operator="equal">
      <formula>"N/A"</formula>
    </cfRule>
  </conditionalFormatting>
  <dataValidations disablePrompts="1" count="2">
    <dataValidation type="list" error="Choisir une valeur dans la liste" prompt="Conforme / Partiel / Non conforme / N/A" sqref="D2:D7">
      <formula1>"Conforme,Partiel,Non conforme,N/A"</formula1>
      <formula2>0</formula2>
    </dataValidation>
    <dataValidation type="list" prompt="Critique / Élevé / Moyen / Faible" sqref="E2:E7">
      <formula1>"Critique,Élevé,Moyen,Faible"</formula1>
      <formula2>0</formula2>
    </dataValidation>
  </dataValidations>
  <pageMargins left="0.3" right="0.3" top="0.5" bottom="0.5" header="0.2" footer="0.2"/>
  <pageSetup paperSize="9" scale="72" fitToHeight="0" orientation="landscape" horizontalDpi="300" verticalDpi="300" r:id="rId1"/>
  <headerFooter>
    <oddHeader>&amp;L&amp;"Calibri,Gras"&amp;9 Citadel IT Solutions&amp;R&amp;9 Page &amp;P / &amp;N</oddHeader>
    <oddFooter>&amp;C&amp;"Calibri,Italique"&amp;8 Citadel IT Solutions - Conseil IT, Cloud &amp;&amp; Cybersécurité - Lomé, Togo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zoomScaleNormal="100" workbookViewId="0">
      <selection activeCell="I23" sqref="I23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58" customWidth="1"/>
    <col min="4" max="4" width="14" customWidth="1"/>
    <col min="5" max="5" width="15" customWidth="1"/>
    <col min="6" max="6" width="12" customWidth="1"/>
    <col min="7" max="7" width="10" customWidth="1"/>
    <col min="8" max="8" width="15.85546875" bestFit="1" customWidth="1"/>
    <col min="9" max="9" width="17.140625" bestFit="1" customWidth="1"/>
    <col min="10" max="10" width="16" customWidth="1"/>
    <col min="11" max="11" width="13" customWidth="1"/>
  </cols>
  <sheetData>
    <row r="1" spans="1:11" ht="31.5" customHeight="1" x14ac:dyDescent="0.25">
      <c r="A1" s="6" t="s">
        <v>62</v>
      </c>
      <c r="B1" s="6" t="s">
        <v>63</v>
      </c>
      <c r="C1" s="6" t="s">
        <v>64</v>
      </c>
      <c r="D1" s="6" t="s">
        <v>52</v>
      </c>
      <c r="E1" s="6" t="s">
        <v>65</v>
      </c>
      <c r="F1" s="6" t="s">
        <v>32</v>
      </c>
      <c r="G1" s="6" t="s">
        <v>33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 ht="25.5" x14ac:dyDescent="0.25">
      <c r="A2" s="14">
        <v>1</v>
      </c>
      <c r="B2" s="7" t="s">
        <v>114</v>
      </c>
      <c r="C2" s="15" t="s">
        <v>115</v>
      </c>
      <c r="D2" s="14" t="s">
        <v>59</v>
      </c>
      <c r="E2" s="14" t="s">
        <v>58</v>
      </c>
      <c r="F2" s="14">
        <f>IF(D2="N/A",0,INDEX(Reference!$B$2:$B$5,MATCH(E2,Reference!$A$2:$A$5,0))*INDEX(Reference!$E$2:$E$5,MATCH(D2,Reference!$D$2:$D$5,0)))</f>
        <v>0</v>
      </c>
      <c r="G2" s="14">
        <f>IF(D2="N/A",0,INDEX(Reference!$B$2:$B$5,MATCH(E2,Reference!$A$2:$A$5,0)))</f>
        <v>2</v>
      </c>
      <c r="H2" s="15"/>
      <c r="I2" s="15"/>
      <c r="J2" s="7"/>
      <c r="K2" s="14"/>
    </row>
    <row r="3" spans="1:11" ht="25.5" x14ac:dyDescent="0.25">
      <c r="A3" s="14">
        <v>2</v>
      </c>
      <c r="B3" s="7" t="s">
        <v>96</v>
      </c>
      <c r="C3" s="15" t="s">
        <v>116</v>
      </c>
      <c r="D3" s="14" t="s">
        <v>59</v>
      </c>
      <c r="E3" s="14" t="s">
        <v>58</v>
      </c>
      <c r="F3" s="14">
        <f>IF(D3="N/A",0,INDEX(Reference!$B$2:$B$5,MATCH(E3,Reference!$A$2:$A$5,0))*INDEX(Reference!$E$2:$E$5,MATCH(D3,Reference!$D$2:$D$5,0)))</f>
        <v>0</v>
      </c>
      <c r="G3" s="14">
        <f>IF(D3="N/A",0,INDEX(Reference!$B$2:$B$5,MATCH(E3,Reference!$A$2:$A$5,0)))</f>
        <v>2</v>
      </c>
      <c r="H3" s="15"/>
      <c r="I3" s="15"/>
      <c r="J3" s="7"/>
      <c r="K3" s="14"/>
    </row>
    <row r="4" spans="1:11" ht="25.5" x14ac:dyDescent="0.25">
      <c r="A4" s="14">
        <v>3</v>
      </c>
      <c r="B4" s="7" t="s">
        <v>117</v>
      </c>
      <c r="C4" s="15" t="s">
        <v>118</v>
      </c>
      <c r="D4" s="14" t="s">
        <v>59</v>
      </c>
      <c r="E4" s="14" t="s">
        <v>58</v>
      </c>
      <c r="F4" s="14">
        <f>IF(D4="N/A",0,INDEX(Reference!$B$2:$B$5,MATCH(E4,Reference!$A$2:$A$5,0))*INDEX(Reference!$E$2:$E$5,MATCH(D4,Reference!$D$2:$D$5,0)))</f>
        <v>0</v>
      </c>
      <c r="G4" s="14">
        <f>IF(D4="N/A",0,INDEX(Reference!$B$2:$B$5,MATCH(E4,Reference!$A$2:$A$5,0)))</f>
        <v>2</v>
      </c>
      <c r="H4" s="15"/>
      <c r="I4" s="15"/>
      <c r="J4" s="7"/>
      <c r="K4" s="14"/>
    </row>
    <row r="5" spans="1:11" ht="25.5" x14ac:dyDescent="0.25">
      <c r="A5" s="14">
        <v>4</v>
      </c>
      <c r="B5" s="7" t="s">
        <v>119</v>
      </c>
      <c r="C5" s="15" t="s">
        <v>120</v>
      </c>
      <c r="D5" s="14" t="s">
        <v>59</v>
      </c>
      <c r="E5" s="14" t="s">
        <v>58</v>
      </c>
      <c r="F5" s="14">
        <f>IF(D5="N/A",0,INDEX(Reference!$B$2:$B$5,MATCH(E5,Reference!$A$2:$A$5,0))*INDEX(Reference!$E$2:$E$5,MATCH(D5,Reference!$D$2:$D$5,0)))</f>
        <v>0</v>
      </c>
      <c r="G5" s="14">
        <f>IF(D5="N/A",0,INDEX(Reference!$B$2:$B$5,MATCH(E5,Reference!$A$2:$A$5,0)))</f>
        <v>2</v>
      </c>
      <c r="H5" s="15"/>
      <c r="I5" s="15"/>
      <c r="J5" s="7"/>
      <c r="K5" s="14"/>
    </row>
    <row r="6" spans="1:11" ht="25.5" x14ac:dyDescent="0.25">
      <c r="A6" s="14">
        <v>5</v>
      </c>
      <c r="B6" s="7" t="s">
        <v>121</v>
      </c>
      <c r="C6" s="15" t="s">
        <v>122</v>
      </c>
      <c r="D6" s="14" t="s">
        <v>59</v>
      </c>
      <c r="E6" s="14" t="s">
        <v>58</v>
      </c>
      <c r="F6" s="14">
        <f>IF(D6="N/A",0,INDEX(Reference!$B$2:$B$5,MATCH(E6,Reference!$A$2:$A$5,0))*INDEX(Reference!$E$2:$E$5,MATCH(D6,Reference!$D$2:$D$5,0)))</f>
        <v>0</v>
      </c>
      <c r="G6" s="14">
        <f>IF(D6="N/A",0,INDEX(Reference!$B$2:$B$5,MATCH(E6,Reference!$A$2:$A$5,0)))</f>
        <v>2</v>
      </c>
      <c r="H6" s="15"/>
      <c r="I6" s="15"/>
      <c r="J6" s="7"/>
      <c r="K6" s="14"/>
    </row>
    <row r="7" spans="1:11" ht="25.5" x14ac:dyDescent="0.25">
      <c r="A7" s="14">
        <v>6</v>
      </c>
      <c r="B7" s="7" t="s">
        <v>123</v>
      </c>
      <c r="C7" s="15" t="s">
        <v>124</v>
      </c>
      <c r="D7" s="14" t="s">
        <v>59</v>
      </c>
      <c r="E7" s="14" t="s">
        <v>58</v>
      </c>
      <c r="F7" s="14">
        <f>IF(D7="N/A",0,INDEX(Reference!$B$2:$B$5,MATCH(E7,Reference!$A$2:$A$5,0))*INDEX(Reference!$E$2:$E$5,MATCH(D7,Reference!$D$2:$D$5,0)))</f>
        <v>0</v>
      </c>
      <c r="G7" s="14">
        <f>IF(D7="N/A",0,INDEX(Reference!$B$2:$B$5,MATCH(E7,Reference!$A$2:$A$5,0)))</f>
        <v>2</v>
      </c>
      <c r="H7" s="15"/>
      <c r="I7" s="15"/>
      <c r="J7" s="7"/>
      <c r="K7" s="14"/>
    </row>
    <row r="8" spans="1:11" ht="25.5" x14ac:dyDescent="0.25">
      <c r="A8" s="14">
        <v>7</v>
      </c>
      <c r="B8" s="7" t="s">
        <v>125</v>
      </c>
      <c r="C8" s="15" t="s">
        <v>126</v>
      </c>
      <c r="D8" s="14" t="s">
        <v>59</v>
      </c>
      <c r="E8" s="14" t="s">
        <v>58</v>
      </c>
      <c r="F8" s="14">
        <f>IF(D8="N/A",0,INDEX(Reference!$B$2:$B$5,MATCH(E8,Reference!$A$2:$A$5,0))*INDEX(Reference!$E$2:$E$5,MATCH(D8,Reference!$D$2:$D$5,0)))</f>
        <v>0</v>
      </c>
      <c r="G8" s="14">
        <f>IF(D8="N/A",0,INDEX(Reference!$B$2:$B$5,MATCH(E8,Reference!$A$2:$A$5,0)))</f>
        <v>2</v>
      </c>
      <c r="H8" s="15"/>
      <c r="I8" s="15"/>
      <c r="J8" s="7"/>
      <c r="K8" s="14"/>
    </row>
    <row r="9" spans="1:11" ht="25.5" x14ac:dyDescent="0.25">
      <c r="A9" s="14">
        <v>8</v>
      </c>
      <c r="B9" s="7" t="s">
        <v>127</v>
      </c>
      <c r="C9" s="15" t="s">
        <v>128</v>
      </c>
      <c r="D9" s="14" t="s">
        <v>59</v>
      </c>
      <c r="E9" s="14" t="s">
        <v>58</v>
      </c>
      <c r="F9" s="14">
        <f>IF(D9="N/A",0,INDEX(Reference!$B$2:$B$5,MATCH(E9,Reference!$A$2:$A$5,0))*INDEX(Reference!$E$2:$E$5,MATCH(D9,Reference!$D$2:$D$5,0)))</f>
        <v>0</v>
      </c>
      <c r="G9" s="14">
        <f>IF(D9="N/A",0,INDEX(Reference!$B$2:$B$5,MATCH(E9,Reference!$A$2:$A$5,0)))</f>
        <v>2</v>
      </c>
      <c r="H9" s="15"/>
      <c r="I9" s="15"/>
      <c r="J9" s="7"/>
      <c r="K9" s="14"/>
    </row>
  </sheetData>
  <conditionalFormatting sqref="D2:D9">
    <cfRule type="cellIs" dxfId="23" priority="2" operator="equal">
      <formula>"Conforme"</formula>
    </cfRule>
    <cfRule type="cellIs" dxfId="22" priority="3" operator="equal">
      <formula>"Partiel"</formula>
    </cfRule>
    <cfRule type="cellIs" dxfId="21" priority="4" operator="equal">
      <formula>"Non conforme"</formula>
    </cfRule>
    <cfRule type="cellIs" dxfId="20" priority="5" operator="equal">
      <formula>"N/A"</formula>
    </cfRule>
  </conditionalFormatting>
  <dataValidations disablePrompts="1" count="2">
    <dataValidation type="list" error="Choisir une valeur dans la liste" prompt="Conforme / Partiel / Non conforme / N/A" sqref="D2:D9">
      <formula1>"Conforme,Partiel,Non conforme,N/A"</formula1>
      <formula2>0</formula2>
    </dataValidation>
    <dataValidation type="list" prompt="Critique / Élevé / Moyen / Faible" sqref="E2:E9">
      <formula1>"Critique,Élevé,Moyen,Faible"</formula1>
      <formula2>0</formula2>
    </dataValidation>
  </dataValidations>
  <pageMargins left="0.3" right="0.3" top="0.5" bottom="0.5" header="0.2" footer="0.2"/>
  <pageSetup paperSize="9" scale="72" fitToHeight="0" orientation="landscape" horizontalDpi="300" verticalDpi="300" r:id="rId1"/>
  <headerFooter>
    <oddHeader>&amp;L&amp;"Calibri,Gras"&amp;9 Citadel IT Solutions&amp;R&amp;9 Page &amp;P / &amp;N</oddHeader>
    <oddFooter>&amp;C&amp;"Calibri,Italique"&amp;8 Citadel IT Solutions - Conseil IT, Cloud &amp;&amp; Cybersécurité - Lomé, Togo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"/>
  <sheetViews>
    <sheetView zoomScale="130" zoomScaleNormal="130" workbookViewId="0">
      <selection activeCell="C24" sqref="C24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58" customWidth="1"/>
    <col min="4" max="4" width="14" customWidth="1"/>
    <col min="5" max="5" width="15" customWidth="1"/>
    <col min="6" max="6" width="12" customWidth="1"/>
    <col min="7" max="7" width="10" customWidth="1"/>
    <col min="8" max="8" width="15.85546875" bestFit="1" customWidth="1"/>
    <col min="9" max="9" width="17.140625" bestFit="1" customWidth="1"/>
    <col min="10" max="10" width="16" customWidth="1"/>
    <col min="11" max="11" width="13" customWidth="1"/>
  </cols>
  <sheetData>
    <row r="1" spans="1:11" ht="31.5" customHeight="1" x14ac:dyDescent="0.25">
      <c r="A1" s="6" t="s">
        <v>62</v>
      </c>
      <c r="B1" s="6" t="s">
        <v>63</v>
      </c>
      <c r="C1" s="6" t="s">
        <v>64</v>
      </c>
      <c r="D1" s="6" t="s">
        <v>52</v>
      </c>
      <c r="E1" s="6" t="s">
        <v>65</v>
      </c>
      <c r="F1" s="6" t="s">
        <v>32</v>
      </c>
      <c r="G1" s="6" t="s">
        <v>33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 ht="25.5" x14ac:dyDescent="0.25">
      <c r="A2" s="14">
        <v>1</v>
      </c>
      <c r="B2" s="7" t="s">
        <v>129</v>
      </c>
      <c r="C2" s="16" t="s">
        <v>207</v>
      </c>
      <c r="D2" s="14" t="s">
        <v>59</v>
      </c>
      <c r="E2" s="14" t="s">
        <v>58</v>
      </c>
      <c r="F2" s="14">
        <f>IF(D2="N/A",0,INDEX(Reference!$B$2:$B$5,MATCH(E2,Reference!$A$2:$A$5,0))*INDEX(Reference!$E$2:$E$5,MATCH(D2,Reference!$D$2:$D$5,0)))</f>
        <v>0</v>
      </c>
      <c r="G2" s="14">
        <f>IF(D2="N/A",0,INDEX(Reference!$B$2:$B$5,MATCH(E2,Reference!$A$2:$A$5,0)))</f>
        <v>2</v>
      </c>
      <c r="H2" s="15"/>
      <c r="I2" s="15"/>
      <c r="J2" s="7"/>
      <c r="K2" s="14"/>
    </row>
    <row r="3" spans="1:11" x14ac:dyDescent="0.25">
      <c r="A3" s="14">
        <v>2</v>
      </c>
      <c r="B3" s="7" t="s">
        <v>129</v>
      </c>
      <c r="C3" s="15" t="s">
        <v>130</v>
      </c>
      <c r="D3" s="14" t="s">
        <v>59</v>
      </c>
      <c r="E3" s="14" t="s">
        <v>58</v>
      </c>
      <c r="F3" s="14">
        <f>IF(D3="N/A",0,INDEX(Reference!$B$2:$B$5,MATCH(E3,Reference!$A$2:$A$5,0))*INDEX(Reference!$E$2:$E$5,MATCH(D3,Reference!$D$2:$D$5,0)))</f>
        <v>0</v>
      </c>
      <c r="G3" s="14">
        <f>IF(D3="N/A",0,INDEX(Reference!$B$2:$B$5,MATCH(E3,Reference!$A$2:$A$5,0)))</f>
        <v>2</v>
      </c>
      <c r="H3" s="15"/>
      <c r="I3" s="15"/>
      <c r="J3" s="7"/>
      <c r="K3" s="14"/>
    </row>
    <row r="4" spans="1:11" x14ac:dyDescent="0.25">
      <c r="A4" s="14">
        <v>3</v>
      </c>
      <c r="B4" s="7" t="s">
        <v>131</v>
      </c>
      <c r="C4" s="15" t="s">
        <v>132</v>
      </c>
      <c r="D4" s="14" t="s">
        <v>59</v>
      </c>
      <c r="E4" s="14" t="s">
        <v>58</v>
      </c>
      <c r="F4" s="14">
        <f>IF(D4="N/A",0,INDEX(Reference!$B$2:$B$5,MATCH(E4,Reference!$A$2:$A$5,0))*INDEX(Reference!$E$2:$E$5,MATCH(D4,Reference!$D$2:$D$5,0)))</f>
        <v>0</v>
      </c>
      <c r="G4" s="14">
        <f>IF(D4="N/A",0,INDEX(Reference!$B$2:$B$5,MATCH(E4,Reference!$A$2:$A$5,0)))</f>
        <v>2</v>
      </c>
      <c r="H4" s="15"/>
      <c r="I4" s="15"/>
      <c r="J4" s="7"/>
      <c r="K4" s="14"/>
    </row>
    <row r="5" spans="1:11" ht="25.5" x14ac:dyDescent="0.25">
      <c r="A5" s="14">
        <v>4</v>
      </c>
      <c r="B5" s="7" t="s">
        <v>131</v>
      </c>
      <c r="C5" s="15" t="s">
        <v>133</v>
      </c>
      <c r="D5" s="14" t="s">
        <v>59</v>
      </c>
      <c r="E5" s="14" t="s">
        <v>58</v>
      </c>
      <c r="F5" s="14">
        <f>IF(D5="N/A",0,INDEX(Reference!$B$2:$B$5,MATCH(E5,Reference!$A$2:$A$5,0))*INDEX(Reference!$E$2:$E$5,MATCH(D5,Reference!$D$2:$D$5,0)))</f>
        <v>0</v>
      </c>
      <c r="G5" s="14">
        <f>IF(D5="N/A",0,INDEX(Reference!$B$2:$B$5,MATCH(E5,Reference!$A$2:$A$5,0)))</f>
        <v>2</v>
      </c>
      <c r="H5" s="15"/>
      <c r="I5" s="15"/>
      <c r="J5" s="7"/>
      <c r="K5" s="14"/>
    </row>
    <row r="6" spans="1:11" ht="25.5" x14ac:dyDescent="0.25">
      <c r="A6" s="14">
        <v>5</v>
      </c>
      <c r="B6" s="7" t="s">
        <v>134</v>
      </c>
      <c r="C6" s="15" t="s">
        <v>135</v>
      </c>
      <c r="D6" s="14" t="s">
        <v>59</v>
      </c>
      <c r="E6" s="14" t="s">
        <v>58</v>
      </c>
      <c r="F6" s="14">
        <f>IF(D6="N/A",0,INDEX(Reference!$B$2:$B$5,MATCH(E6,Reference!$A$2:$A$5,0))*INDEX(Reference!$E$2:$E$5,MATCH(D6,Reference!$D$2:$D$5,0)))</f>
        <v>0</v>
      </c>
      <c r="G6" s="14">
        <f>IF(D6="N/A",0,INDEX(Reference!$B$2:$B$5,MATCH(E6,Reference!$A$2:$A$5,0)))</f>
        <v>2</v>
      </c>
      <c r="H6" s="15"/>
      <c r="I6" s="15"/>
      <c r="J6" s="7"/>
      <c r="K6" s="14"/>
    </row>
    <row r="7" spans="1:11" ht="25.5" x14ac:dyDescent="0.25">
      <c r="A7" s="14">
        <v>6</v>
      </c>
      <c r="B7" s="7" t="s">
        <v>134</v>
      </c>
      <c r="C7" s="15" t="s">
        <v>136</v>
      </c>
      <c r="D7" s="14" t="s">
        <v>59</v>
      </c>
      <c r="E7" s="14" t="s">
        <v>58</v>
      </c>
      <c r="F7" s="14">
        <f>IF(D7="N/A",0,INDEX(Reference!$B$2:$B$5,MATCH(E7,Reference!$A$2:$A$5,0))*INDEX(Reference!$E$2:$E$5,MATCH(D7,Reference!$D$2:$D$5,0)))</f>
        <v>0</v>
      </c>
      <c r="G7" s="14">
        <f>IF(D7="N/A",0,INDEX(Reference!$B$2:$B$5,MATCH(E7,Reference!$A$2:$A$5,0)))</f>
        <v>2</v>
      </c>
      <c r="H7" s="15"/>
      <c r="I7" s="15"/>
      <c r="J7" s="7"/>
      <c r="K7" s="14"/>
    </row>
    <row r="8" spans="1:11" x14ac:dyDescent="0.25">
      <c r="A8" s="14">
        <v>7</v>
      </c>
      <c r="B8" s="7" t="s">
        <v>134</v>
      </c>
      <c r="C8" s="15" t="s">
        <v>137</v>
      </c>
      <c r="D8" s="14" t="s">
        <v>59</v>
      </c>
      <c r="E8" s="14" t="s">
        <v>58</v>
      </c>
      <c r="F8" s="14">
        <f>IF(D8="N/A",0,INDEX(Reference!$B$2:$B$5,MATCH(E8,Reference!$A$2:$A$5,0))*INDEX(Reference!$E$2:$E$5,MATCH(D8,Reference!$D$2:$D$5,0)))</f>
        <v>0</v>
      </c>
      <c r="G8" s="14">
        <f>IF(D8="N/A",0,INDEX(Reference!$B$2:$B$5,MATCH(E8,Reference!$A$2:$A$5,0)))</f>
        <v>2</v>
      </c>
      <c r="H8" s="15"/>
      <c r="I8" s="15"/>
      <c r="J8" s="7"/>
      <c r="K8" s="14"/>
    </row>
    <row r="9" spans="1:11" ht="25.5" x14ac:dyDescent="0.25">
      <c r="A9" s="14">
        <v>8</v>
      </c>
      <c r="B9" s="7" t="s">
        <v>138</v>
      </c>
      <c r="C9" s="15" t="s">
        <v>139</v>
      </c>
      <c r="D9" s="14" t="s">
        <v>59</v>
      </c>
      <c r="E9" s="14" t="s">
        <v>58</v>
      </c>
      <c r="F9" s="14">
        <f>IF(D9="N/A",0,INDEX(Reference!$B$2:$B$5,MATCH(E9,Reference!$A$2:$A$5,0))*INDEX(Reference!$E$2:$E$5,MATCH(D9,Reference!$D$2:$D$5,0)))</f>
        <v>0</v>
      </c>
      <c r="G9" s="14">
        <f>IF(D9="N/A",0,INDEX(Reference!$B$2:$B$5,MATCH(E9,Reference!$A$2:$A$5,0)))</f>
        <v>2</v>
      </c>
      <c r="H9" s="15"/>
      <c r="I9" s="15"/>
      <c r="J9" s="7"/>
      <c r="K9" s="14"/>
    </row>
    <row r="10" spans="1:11" x14ac:dyDescent="0.25">
      <c r="A10" s="14">
        <v>9</v>
      </c>
      <c r="B10" s="7" t="s">
        <v>138</v>
      </c>
      <c r="C10" s="15" t="s">
        <v>140</v>
      </c>
      <c r="D10" s="14" t="s">
        <v>59</v>
      </c>
      <c r="E10" s="14" t="s">
        <v>58</v>
      </c>
      <c r="F10" s="14">
        <f>IF(D10="N/A",0,INDEX(Reference!$B$2:$B$5,MATCH(E10,Reference!$A$2:$A$5,0))*INDEX(Reference!$E$2:$E$5,MATCH(D10,Reference!$D$2:$D$5,0)))</f>
        <v>0</v>
      </c>
      <c r="G10" s="14">
        <f>IF(D10="N/A",0,INDEX(Reference!$B$2:$B$5,MATCH(E10,Reference!$A$2:$A$5,0)))</f>
        <v>2</v>
      </c>
      <c r="H10" s="15"/>
      <c r="I10" s="15"/>
      <c r="J10" s="7"/>
      <c r="K10" s="14"/>
    </row>
    <row r="11" spans="1:11" x14ac:dyDescent="0.25">
      <c r="A11" s="14">
        <v>10</v>
      </c>
      <c r="B11" s="7" t="s">
        <v>141</v>
      </c>
      <c r="C11" s="15" t="s">
        <v>142</v>
      </c>
      <c r="D11" s="14" t="s">
        <v>59</v>
      </c>
      <c r="E11" s="14" t="s">
        <v>58</v>
      </c>
      <c r="F11" s="14">
        <f>IF(D11="N/A",0,INDEX(Reference!$B$2:$B$5,MATCH(E11,Reference!$A$2:$A$5,0))*INDEX(Reference!$E$2:$E$5,MATCH(D11,Reference!$D$2:$D$5,0)))</f>
        <v>0</v>
      </c>
      <c r="G11" s="14">
        <f>IF(D11="N/A",0,INDEX(Reference!$B$2:$B$5,MATCH(E11,Reference!$A$2:$A$5,0)))</f>
        <v>2</v>
      </c>
      <c r="H11" s="15"/>
      <c r="I11" s="15"/>
      <c r="J11" s="7"/>
      <c r="K11" s="14"/>
    </row>
    <row r="12" spans="1:11" x14ac:dyDescent="0.25">
      <c r="A12" s="14">
        <v>11</v>
      </c>
      <c r="B12" s="7" t="s">
        <v>143</v>
      </c>
      <c r="C12" s="15" t="s">
        <v>144</v>
      </c>
      <c r="D12" s="14" t="s">
        <v>59</v>
      </c>
      <c r="E12" s="14" t="s">
        <v>58</v>
      </c>
      <c r="F12" s="14">
        <f>IF(D12="N/A",0,INDEX(Reference!$B$2:$B$5,MATCH(E12,Reference!$A$2:$A$5,0))*INDEX(Reference!$E$2:$E$5,MATCH(D12,Reference!$D$2:$D$5,0)))</f>
        <v>0</v>
      </c>
      <c r="G12" s="14">
        <f>IF(D12="N/A",0,INDEX(Reference!$B$2:$B$5,MATCH(E12,Reference!$A$2:$A$5,0)))</f>
        <v>2</v>
      </c>
      <c r="H12" s="15"/>
      <c r="I12" s="15"/>
      <c r="J12" s="7"/>
      <c r="K12" s="14"/>
    </row>
  </sheetData>
  <conditionalFormatting sqref="D2:D12">
    <cfRule type="cellIs" dxfId="19" priority="2" operator="equal">
      <formula>"Conforme"</formula>
    </cfRule>
    <cfRule type="cellIs" dxfId="18" priority="3" operator="equal">
      <formula>"Partiel"</formula>
    </cfRule>
    <cfRule type="cellIs" dxfId="17" priority="4" operator="equal">
      <formula>"Non conforme"</formula>
    </cfRule>
    <cfRule type="cellIs" dxfId="16" priority="5" operator="equal">
      <formula>"N/A"</formula>
    </cfRule>
  </conditionalFormatting>
  <dataValidations disablePrompts="1" count="2">
    <dataValidation type="list" error="Choisir une valeur dans la liste" prompt="Conforme / Partiel / Non conforme / N/A" sqref="D2:D12">
      <formula1>"Conforme,Partiel,Non conforme,N/A"</formula1>
      <formula2>0</formula2>
    </dataValidation>
    <dataValidation type="list" prompt="Critique / Élevé / Moyen / Faible" sqref="E2:E12">
      <formula1>"Critique,Élevé,Moyen,Faible"</formula1>
      <formula2>0</formula2>
    </dataValidation>
  </dataValidations>
  <pageMargins left="0.3" right="0.3" top="0.5" bottom="0.5" header="0.2" footer="0.2"/>
  <pageSetup paperSize="9" scale="72" fitToHeight="0" orientation="landscape" horizontalDpi="300" verticalDpi="300" r:id="rId1"/>
  <headerFooter>
    <oddHeader>&amp;L&amp;"Calibri,Gras"&amp;9 Citadel IT Solutions&amp;R&amp;9 Page &amp;P / &amp;N</oddHeader>
    <oddFooter>&amp;C&amp;"Calibri,Italique"&amp;8 Citadel IT Solutions - Conseil IT, Cloud &amp;&amp; Cybersécurité - Lomé, Togo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zoomScale="130" zoomScaleNormal="130" workbookViewId="0">
      <selection activeCell="C21" sqref="C21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58" customWidth="1"/>
    <col min="4" max="4" width="14" customWidth="1"/>
    <col min="5" max="5" width="15" customWidth="1"/>
    <col min="6" max="6" width="12" customWidth="1"/>
    <col min="7" max="7" width="10" customWidth="1"/>
    <col min="8" max="8" width="15.85546875" bestFit="1" customWidth="1"/>
    <col min="9" max="9" width="17.140625" bestFit="1" customWidth="1"/>
    <col min="10" max="10" width="16" customWidth="1"/>
    <col min="11" max="11" width="13" customWidth="1"/>
  </cols>
  <sheetData>
    <row r="1" spans="1:11" ht="31.5" customHeight="1" x14ac:dyDescent="0.25">
      <c r="A1" s="6" t="s">
        <v>62</v>
      </c>
      <c r="B1" s="6" t="s">
        <v>63</v>
      </c>
      <c r="C1" s="6" t="s">
        <v>64</v>
      </c>
      <c r="D1" s="6" t="s">
        <v>52</v>
      </c>
      <c r="E1" s="6" t="s">
        <v>65</v>
      </c>
      <c r="F1" s="6" t="s">
        <v>32</v>
      </c>
      <c r="G1" s="6" t="s">
        <v>33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 ht="25.5" x14ac:dyDescent="0.25">
      <c r="A2" s="14">
        <v>1</v>
      </c>
      <c r="B2" s="7" t="s">
        <v>123</v>
      </c>
      <c r="C2" s="15" t="s">
        <v>145</v>
      </c>
      <c r="D2" s="14" t="s">
        <v>59</v>
      </c>
      <c r="E2" s="14" t="s">
        <v>58</v>
      </c>
      <c r="F2" s="14">
        <f>IF(D2="N/A",0,INDEX(Reference!$B$2:$B$5,MATCH(E2,Reference!$A$2:$A$5,0))*INDEX(Reference!$E$2:$E$5,MATCH(D2,Reference!$D$2:$D$5,0)))</f>
        <v>0</v>
      </c>
      <c r="G2" s="14">
        <f>IF(D2="N/A",0,INDEX(Reference!$B$2:$B$5,MATCH(E2,Reference!$A$2:$A$5,0)))</f>
        <v>2</v>
      </c>
      <c r="H2" s="15"/>
      <c r="I2" s="15"/>
      <c r="J2" s="7"/>
      <c r="K2" s="14"/>
    </row>
    <row r="3" spans="1:11" x14ac:dyDescent="0.25">
      <c r="A3" s="14">
        <v>2</v>
      </c>
      <c r="B3" s="7" t="s">
        <v>123</v>
      </c>
      <c r="C3" s="15" t="s">
        <v>146</v>
      </c>
      <c r="D3" s="14" t="s">
        <v>59</v>
      </c>
      <c r="E3" s="14" t="s">
        <v>58</v>
      </c>
      <c r="F3" s="14">
        <f>IF(D3="N/A",0,INDEX(Reference!$B$2:$B$5,MATCH(E3,Reference!$A$2:$A$5,0))*INDEX(Reference!$E$2:$E$5,MATCH(D3,Reference!$D$2:$D$5,0)))</f>
        <v>0</v>
      </c>
      <c r="G3" s="14">
        <f>IF(D3="N/A",0,INDEX(Reference!$B$2:$B$5,MATCH(E3,Reference!$A$2:$A$5,0)))</f>
        <v>2</v>
      </c>
      <c r="H3" s="15"/>
      <c r="I3" s="15"/>
      <c r="J3" s="7"/>
      <c r="K3" s="14"/>
    </row>
    <row r="4" spans="1:11" x14ac:dyDescent="0.25">
      <c r="A4" s="14">
        <v>3</v>
      </c>
      <c r="B4" s="7" t="s">
        <v>123</v>
      </c>
      <c r="C4" s="15" t="s">
        <v>147</v>
      </c>
      <c r="D4" s="14" t="s">
        <v>59</v>
      </c>
      <c r="E4" s="14" t="s">
        <v>58</v>
      </c>
      <c r="F4" s="14">
        <f>IF(D4="N/A",0,INDEX(Reference!$B$2:$B$5,MATCH(E4,Reference!$A$2:$A$5,0))*INDEX(Reference!$E$2:$E$5,MATCH(D4,Reference!$D$2:$D$5,0)))</f>
        <v>0</v>
      </c>
      <c r="G4" s="14">
        <f>IF(D4="N/A",0,INDEX(Reference!$B$2:$B$5,MATCH(E4,Reference!$A$2:$A$5,0)))</f>
        <v>2</v>
      </c>
      <c r="H4" s="15"/>
      <c r="I4" s="15"/>
      <c r="J4" s="7"/>
      <c r="K4" s="14"/>
    </row>
    <row r="5" spans="1:11" x14ac:dyDescent="0.25">
      <c r="A5" s="14">
        <v>4</v>
      </c>
      <c r="B5" s="7" t="s">
        <v>148</v>
      </c>
      <c r="C5" s="15" t="s">
        <v>149</v>
      </c>
      <c r="D5" s="14" t="s">
        <v>59</v>
      </c>
      <c r="E5" s="14" t="s">
        <v>58</v>
      </c>
      <c r="F5" s="14">
        <f>IF(D5="N/A",0,INDEX(Reference!$B$2:$B$5,MATCH(E5,Reference!$A$2:$A$5,0))*INDEX(Reference!$E$2:$E$5,MATCH(D5,Reference!$D$2:$D$5,0)))</f>
        <v>0</v>
      </c>
      <c r="G5" s="14">
        <f>IF(D5="N/A",0,INDEX(Reference!$B$2:$B$5,MATCH(E5,Reference!$A$2:$A$5,0)))</f>
        <v>2</v>
      </c>
      <c r="H5" s="15"/>
      <c r="I5" s="15"/>
      <c r="J5" s="7"/>
      <c r="K5" s="14"/>
    </row>
    <row r="6" spans="1:11" x14ac:dyDescent="0.25">
      <c r="A6" s="14">
        <v>5</v>
      </c>
      <c r="B6" s="7" t="s">
        <v>150</v>
      </c>
      <c r="C6" s="15" t="s">
        <v>151</v>
      </c>
      <c r="D6" s="14" t="s">
        <v>59</v>
      </c>
      <c r="E6" s="14" t="s">
        <v>58</v>
      </c>
      <c r="F6" s="14">
        <f>IF(D6="N/A",0,INDEX(Reference!$B$2:$B$5,MATCH(E6,Reference!$A$2:$A$5,0))*INDEX(Reference!$E$2:$E$5,MATCH(D6,Reference!$D$2:$D$5,0)))</f>
        <v>0</v>
      </c>
      <c r="G6" s="14">
        <f>IF(D6="N/A",0,INDEX(Reference!$B$2:$B$5,MATCH(E6,Reference!$A$2:$A$5,0)))</f>
        <v>2</v>
      </c>
      <c r="H6" s="15"/>
      <c r="I6" s="15"/>
      <c r="J6" s="7"/>
      <c r="K6" s="14"/>
    </row>
    <row r="7" spans="1:11" ht="25.5" x14ac:dyDescent="0.25">
      <c r="A7" s="14">
        <v>6</v>
      </c>
      <c r="B7" s="7" t="s">
        <v>152</v>
      </c>
      <c r="C7" s="15" t="s">
        <v>153</v>
      </c>
      <c r="D7" s="14" t="s">
        <v>59</v>
      </c>
      <c r="E7" s="14" t="s">
        <v>58</v>
      </c>
      <c r="F7" s="14">
        <f>IF(D7="N/A",0,INDEX(Reference!$B$2:$B$5,MATCH(E7,Reference!$A$2:$A$5,0))*INDEX(Reference!$E$2:$E$5,MATCH(D7,Reference!$D$2:$D$5,0)))</f>
        <v>0</v>
      </c>
      <c r="G7" s="14">
        <f>IF(D7="N/A",0,INDEX(Reference!$B$2:$B$5,MATCH(E7,Reference!$A$2:$A$5,0)))</f>
        <v>2</v>
      </c>
      <c r="H7" s="15"/>
      <c r="I7" s="15"/>
      <c r="J7" s="7"/>
      <c r="K7" s="14"/>
    </row>
    <row r="8" spans="1:11" x14ac:dyDescent="0.25">
      <c r="A8" s="14">
        <v>7</v>
      </c>
      <c r="B8" s="7" t="s">
        <v>152</v>
      </c>
      <c r="C8" s="15" t="s">
        <v>154</v>
      </c>
      <c r="D8" s="14" t="s">
        <v>59</v>
      </c>
      <c r="E8" s="14" t="s">
        <v>58</v>
      </c>
      <c r="F8" s="14">
        <f>IF(D8="N/A",0,INDEX(Reference!$B$2:$B$5,MATCH(E8,Reference!$A$2:$A$5,0))*INDEX(Reference!$E$2:$E$5,MATCH(D8,Reference!$D$2:$D$5,0)))</f>
        <v>0</v>
      </c>
      <c r="G8" s="14">
        <f>IF(D8="N/A",0,INDEX(Reference!$B$2:$B$5,MATCH(E8,Reference!$A$2:$A$5,0)))</f>
        <v>2</v>
      </c>
      <c r="H8" s="15"/>
      <c r="I8" s="15"/>
      <c r="J8" s="7"/>
      <c r="K8" s="14"/>
    </row>
    <row r="9" spans="1:11" x14ac:dyDescent="0.25">
      <c r="A9" s="14">
        <v>8</v>
      </c>
      <c r="B9" s="7" t="s">
        <v>155</v>
      </c>
      <c r="C9" s="15" t="s">
        <v>156</v>
      </c>
      <c r="D9" s="14" t="s">
        <v>59</v>
      </c>
      <c r="E9" s="14" t="s">
        <v>58</v>
      </c>
      <c r="F9" s="14">
        <f>IF(D9="N/A",0,INDEX(Reference!$B$2:$B$5,MATCH(E9,Reference!$A$2:$A$5,0))*INDEX(Reference!$E$2:$E$5,MATCH(D9,Reference!$D$2:$D$5,0)))</f>
        <v>0</v>
      </c>
      <c r="G9" s="14">
        <f>IF(D9="N/A",0,INDEX(Reference!$B$2:$B$5,MATCH(E9,Reference!$A$2:$A$5,0)))</f>
        <v>2</v>
      </c>
      <c r="H9" s="15"/>
      <c r="I9" s="15"/>
      <c r="J9" s="7"/>
      <c r="K9" s="14"/>
    </row>
    <row r="10" spans="1:11" ht="25.5" x14ac:dyDescent="0.25">
      <c r="A10" s="14">
        <v>9</v>
      </c>
      <c r="B10" s="7" t="s">
        <v>157</v>
      </c>
      <c r="C10" s="15" t="s">
        <v>158</v>
      </c>
      <c r="D10" s="14" t="s">
        <v>59</v>
      </c>
      <c r="E10" s="14" t="s">
        <v>58</v>
      </c>
      <c r="F10" s="14">
        <f>IF(D10="N/A",0,INDEX(Reference!$B$2:$B$5,MATCH(E10,Reference!$A$2:$A$5,0))*INDEX(Reference!$E$2:$E$5,MATCH(D10,Reference!$D$2:$D$5,0)))</f>
        <v>0</v>
      </c>
      <c r="G10" s="14">
        <f>IF(D10="N/A",0,INDEX(Reference!$B$2:$B$5,MATCH(E10,Reference!$A$2:$A$5,0)))</f>
        <v>2</v>
      </c>
      <c r="H10" s="15"/>
      <c r="I10" s="15"/>
      <c r="J10" s="7"/>
      <c r="K10" s="14"/>
    </row>
    <row r="11" spans="1:11" x14ac:dyDescent="0.25">
      <c r="A11" s="14">
        <v>10</v>
      </c>
      <c r="B11" s="7" t="s">
        <v>159</v>
      </c>
      <c r="C11" s="15" t="s">
        <v>160</v>
      </c>
      <c r="D11" s="14" t="s">
        <v>59</v>
      </c>
      <c r="E11" s="14" t="s">
        <v>58</v>
      </c>
      <c r="F11" s="14">
        <f>IF(D11="N/A",0,INDEX(Reference!$B$2:$B$5,MATCH(E11,Reference!$A$2:$A$5,0))*INDEX(Reference!$E$2:$E$5,MATCH(D11,Reference!$D$2:$D$5,0)))</f>
        <v>0</v>
      </c>
      <c r="G11" s="14">
        <f>IF(D11="N/A",0,INDEX(Reference!$B$2:$B$5,MATCH(E11,Reference!$A$2:$A$5,0)))</f>
        <v>2</v>
      </c>
      <c r="H11" s="15"/>
      <c r="I11" s="15"/>
      <c r="J11" s="7"/>
      <c r="K11" s="14"/>
    </row>
  </sheetData>
  <conditionalFormatting sqref="D2:D11">
    <cfRule type="cellIs" dxfId="15" priority="2" operator="equal">
      <formula>"Conforme"</formula>
    </cfRule>
    <cfRule type="cellIs" dxfId="14" priority="3" operator="equal">
      <formula>"Partiel"</formula>
    </cfRule>
    <cfRule type="cellIs" dxfId="13" priority="4" operator="equal">
      <formula>"Non conforme"</formula>
    </cfRule>
    <cfRule type="cellIs" dxfId="12" priority="5" operator="equal">
      <formula>"N/A"</formula>
    </cfRule>
  </conditionalFormatting>
  <dataValidations disablePrompts="1" count="2">
    <dataValidation type="list" error="Choisir une valeur dans la liste" prompt="Conforme / Partiel / Non conforme / N/A" sqref="D2:D11">
      <formula1>"Conforme,Partiel,Non conforme,N/A"</formula1>
      <formula2>0</formula2>
    </dataValidation>
    <dataValidation type="list" prompt="Critique / Élevé / Moyen / Faible" sqref="E2:E11">
      <formula1>"Critique,Élevé,Moyen,Faible"</formula1>
      <formula2>0</formula2>
    </dataValidation>
  </dataValidations>
  <pageMargins left="0.3" right="0.3" top="0.5" bottom="0.5" header="0.2" footer="0.2"/>
  <pageSetup paperSize="9" scale="72" fitToHeight="0" orientation="landscape" horizontalDpi="300" verticalDpi="300" r:id="rId1"/>
  <headerFooter>
    <oddHeader>&amp;L&amp;"Calibri,Gras"&amp;9 Citadel IT Solutions&amp;R&amp;9 Page &amp;P / &amp;N</oddHeader>
    <oddFooter>&amp;C&amp;"Calibri,Italique"&amp;8 Citadel IT Solutions - Conseil IT, Cloud &amp;&amp; Cybersécurité - Lomé, Togo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zoomScale="130" zoomScaleNormal="130" workbookViewId="0">
      <selection activeCell="D19" sqref="D19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58" customWidth="1"/>
    <col min="4" max="4" width="14" customWidth="1"/>
    <col min="5" max="5" width="15" customWidth="1"/>
    <col min="6" max="6" width="12" customWidth="1"/>
    <col min="7" max="7" width="10" customWidth="1"/>
    <col min="8" max="8" width="15.85546875" bestFit="1" customWidth="1"/>
    <col min="9" max="9" width="17.140625" bestFit="1" customWidth="1"/>
    <col min="10" max="10" width="16" customWidth="1"/>
    <col min="11" max="11" width="13" customWidth="1"/>
  </cols>
  <sheetData>
    <row r="1" spans="1:11" ht="31.5" customHeight="1" x14ac:dyDescent="0.25">
      <c r="A1" s="6" t="s">
        <v>62</v>
      </c>
      <c r="B1" s="6" t="s">
        <v>63</v>
      </c>
      <c r="C1" s="6" t="s">
        <v>64</v>
      </c>
      <c r="D1" s="6" t="s">
        <v>52</v>
      </c>
      <c r="E1" s="6" t="s">
        <v>65</v>
      </c>
      <c r="F1" s="6" t="s">
        <v>32</v>
      </c>
      <c r="G1" s="6" t="s">
        <v>33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 ht="25.5" x14ac:dyDescent="0.25">
      <c r="A2" s="14">
        <v>1</v>
      </c>
      <c r="B2" s="7" t="s">
        <v>161</v>
      </c>
      <c r="C2" s="15" t="s">
        <v>162</v>
      </c>
      <c r="D2" s="14" t="s">
        <v>59</v>
      </c>
      <c r="E2" s="14" t="s">
        <v>58</v>
      </c>
      <c r="F2" s="14">
        <f>IF(D2="N/A",0,INDEX(Reference!$B$2:$B$5,MATCH(E2,Reference!$A$2:$A$5,0))*INDEX(Reference!$E$2:$E$5,MATCH(D2,Reference!$D$2:$D$5,0)))</f>
        <v>0</v>
      </c>
      <c r="G2" s="14">
        <f>IF(D2="N/A",0,INDEX(Reference!$B$2:$B$5,MATCH(E2,Reference!$A$2:$A$5,0)))</f>
        <v>2</v>
      </c>
      <c r="H2" s="15"/>
      <c r="I2" s="15"/>
      <c r="J2" s="7"/>
      <c r="K2" s="14"/>
    </row>
    <row r="3" spans="1:11" x14ac:dyDescent="0.25">
      <c r="A3" s="14">
        <v>2</v>
      </c>
      <c r="B3" s="7" t="s">
        <v>163</v>
      </c>
      <c r="C3" s="15" t="s">
        <v>164</v>
      </c>
      <c r="D3" s="14" t="s">
        <v>59</v>
      </c>
      <c r="E3" s="14" t="s">
        <v>58</v>
      </c>
      <c r="F3" s="14">
        <f>IF(D3="N/A",0,INDEX(Reference!$B$2:$B$5,MATCH(E3,Reference!$A$2:$A$5,0))*INDEX(Reference!$E$2:$E$5,MATCH(D3,Reference!$D$2:$D$5,0)))</f>
        <v>0</v>
      </c>
      <c r="G3" s="14">
        <f>IF(D3="N/A",0,INDEX(Reference!$B$2:$B$5,MATCH(E3,Reference!$A$2:$A$5,0)))</f>
        <v>2</v>
      </c>
      <c r="H3" s="15"/>
      <c r="I3" s="15"/>
      <c r="J3" s="7"/>
      <c r="K3" s="14"/>
    </row>
    <row r="4" spans="1:11" x14ac:dyDescent="0.25">
      <c r="A4" s="14">
        <v>3</v>
      </c>
      <c r="B4" s="7" t="s">
        <v>163</v>
      </c>
      <c r="C4" s="15" t="s">
        <v>165</v>
      </c>
      <c r="D4" s="14" t="s">
        <v>59</v>
      </c>
      <c r="E4" s="14" t="s">
        <v>58</v>
      </c>
      <c r="F4" s="14">
        <f>IF(D4="N/A",0,INDEX(Reference!$B$2:$B$5,MATCH(E4,Reference!$A$2:$A$5,0))*INDEX(Reference!$E$2:$E$5,MATCH(D4,Reference!$D$2:$D$5,0)))</f>
        <v>0</v>
      </c>
      <c r="G4" s="14">
        <f>IF(D4="N/A",0,INDEX(Reference!$B$2:$B$5,MATCH(E4,Reference!$A$2:$A$5,0)))</f>
        <v>2</v>
      </c>
      <c r="H4" s="15"/>
      <c r="I4" s="15"/>
      <c r="J4" s="7"/>
      <c r="K4" s="14"/>
    </row>
    <row r="5" spans="1:11" x14ac:dyDescent="0.25">
      <c r="A5" s="14">
        <v>4</v>
      </c>
      <c r="B5" s="7" t="s">
        <v>166</v>
      </c>
      <c r="C5" s="15" t="s">
        <v>167</v>
      </c>
      <c r="D5" s="14" t="s">
        <v>59</v>
      </c>
      <c r="E5" s="14" t="s">
        <v>58</v>
      </c>
      <c r="F5" s="14">
        <f>IF(D5="N/A",0,INDEX(Reference!$B$2:$B$5,MATCH(E5,Reference!$A$2:$A$5,0))*INDEX(Reference!$E$2:$E$5,MATCH(D5,Reference!$D$2:$D$5,0)))</f>
        <v>0</v>
      </c>
      <c r="G5" s="14">
        <f>IF(D5="N/A",0,INDEX(Reference!$B$2:$B$5,MATCH(E5,Reference!$A$2:$A$5,0)))</f>
        <v>2</v>
      </c>
      <c r="H5" s="15"/>
      <c r="I5" s="15"/>
      <c r="J5" s="7"/>
      <c r="K5" s="14"/>
    </row>
    <row r="6" spans="1:11" ht="25.5" x14ac:dyDescent="0.25">
      <c r="A6" s="14">
        <v>5</v>
      </c>
      <c r="B6" s="7" t="s">
        <v>168</v>
      </c>
      <c r="C6" s="15" t="s">
        <v>169</v>
      </c>
      <c r="D6" s="14" t="s">
        <v>59</v>
      </c>
      <c r="E6" s="14" t="s">
        <v>58</v>
      </c>
      <c r="F6" s="14">
        <f>IF(D6="N/A",0,INDEX(Reference!$B$2:$B$5,MATCH(E6,Reference!$A$2:$A$5,0))*INDEX(Reference!$E$2:$E$5,MATCH(D6,Reference!$D$2:$D$5,0)))</f>
        <v>0</v>
      </c>
      <c r="G6" s="14">
        <f>IF(D6="N/A",0,INDEX(Reference!$B$2:$B$5,MATCH(E6,Reference!$A$2:$A$5,0)))</f>
        <v>2</v>
      </c>
      <c r="H6" s="15"/>
      <c r="I6" s="15"/>
      <c r="J6" s="7"/>
      <c r="K6" s="14"/>
    </row>
    <row r="7" spans="1:11" x14ac:dyDescent="0.25">
      <c r="A7" s="14">
        <v>6</v>
      </c>
      <c r="B7" s="7" t="s">
        <v>170</v>
      </c>
      <c r="C7" s="15" t="s">
        <v>171</v>
      </c>
      <c r="D7" s="14" t="s">
        <v>59</v>
      </c>
      <c r="E7" s="14" t="s">
        <v>58</v>
      </c>
      <c r="F7" s="14">
        <f>IF(D7="N/A",0,INDEX(Reference!$B$2:$B$5,MATCH(E7,Reference!$A$2:$A$5,0))*INDEX(Reference!$E$2:$E$5,MATCH(D7,Reference!$D$2:$D$5,0)))</f>
        <v>0</v>
      </c>
      <c r="G7" s="14">
        <f>IF(D7="N/A",0,INDEX(Reference!$B$2:$B$5,MATCH(E7,Reference!$A$2:$A$5,0)))</f>
        <v>2</v>
      </c>
      <c r="H7" s="15"/>
      <c r="I7" s="15"/>
      <c r="J7" s="7"/>
      <c r="K7" s="14"/>
    </row>
    <row r="8" spans="1:11" x14ac:dyDescent="0.25">
      <c r="A8" s="14">
        <v>7</v>
      </c>
      <c r="B8" s="7" t="s">
        <v>172</v>
      </c>
      <c r="C8" s="15" t="s">
        <v>173</v>
      </c>
      <c r="D8" s="14" t="s">
        <v>59</v>
      </c>
      <c r="E8" s="14" t="s">
        <v>58</v>
      </c>
      <c r="F8" s="14">
        <f>IF(D8="N/A",0,INDEX(Reference!$B$2:$B$5,MATCH(E8,Reference!$A$2:$A$5,0))*INDEX(Reference!$E$2:$E$5,MATCH(D8,Reference!$D$2:$D$5,0)))</f>
        <v>0</v>
      </c>
      <c r="G8" s="14">
        <f>IF(D8="N/A",0,INDEX(Reference!$B$2:$B$5,MATCH(E8,Reference!$A$2:$A$5,0)))</f>
        <v>2</v>
      </c>
      <c r="H8" s="15"/>
      <c r="I8" s="15"/>
      <c r="J8" s="7"/>
      <c r="K8" s="14"/>
    </row>
    <row r="9" spans="1:11" x14ac:dyDescent="0.25">
      <c r="A9" s="14">
        <v>8</v>
      </c>
      <c r="B9" s="7" t="s">
        <v>174</v>
      </c>
      <c r="C9" s="15" t="s">
        <v>175</v>
      </c>
      <c r="D9" s="14" t="s">
        <v>59</v>
      </c>
      <c r="E9" s="14" t="s">
        <v>58</v>
      </c>
      <c r="F9" s="14">
        <f>IF(D9="N/A",0,INDEX(Reference!$B$2:$B$5,MATCH(E9,Reference!$A$2:$A$5,0))*INDEX(Reference!$E$2:$E$5,MATCH(D9,Reference!$D$2:$D$5,0)))</f>
        <v>0</v>
      </c>
      <c r="G9" s="14">
        <f>IF(D9="N/A",0,INDEX(Reference!$B$2:$B$5,MATCH(E9,Reference!$A$2:$A$5,0)))</f>
        <v>2</v>
      </c>
      <c r="H9" s="15"/>
      <c r="I9" s="15"/>
      <c r="J9" s="7"/>
      <c r="K9" s="14"/>
    </row>
  </sheetData>
  <conditionalFormatting sqref="D2:D9">
    <cfRule type="cellIs" dxfId="11" priority="2" operator="equal">
      <formula>"Conforme"</formula>
    </cfRule>
    <cfRule type="cellIs" dxfId="10" priority="3" operator="equal">
      <formula>"Partiel"</formula>
    </cfRule>
    <cfRule type="cellIs" dxfId="9" priority="4" operator="equal">
      <formula>"Non conforme"</formula>
    </cfRule>
    <cfRule type="cellIs" dxfId="8" priority="5" operator="equal">
      <formula>"N/A"</formula>
    </cfRule>
  </conditionalFormatting>
  <dataValidations disablePrompts="1" count="2">
    <dataValidation type="list" error="Choisir une valeur dans la liste" prompt="Conforme / Partiel / Non conforme / N/A" sqref="D2:D9">
      <formula1>"Conforme,Partiel,Non conforme,N/A"</formula1>
      <formula2>0</formula2>
    </dataValidation>
    <dataValidation type="list" prompt="Critique / Élevé / Moyen / Faible" sqref="E2:E9">
      <formula1>"Critique,Élevé,Moyen,Faible"</formula1>
      <formula2>0</formula2>
    </dataValidation>
  </dataValidations>
  <pageMargins left="0.3" right="0.3" top="0.5" bottom="0.5" header="0.2" footer="0.2"/>
  <pageSetup paperSize="9" scale="72" fitToHeight="0" orientation="landscape" horizontalDpi="300" verticalDpi="300" r:id="rId1"/>
  <headerFooter>
    <oddHeader>&amp;L&amp;"Calibri,Gras"&amp;9 Citadel IT Solutions&amp;R&amp;9 Page &amp;P / &amp;N</oddHeader>
    <oddFooter>&amp;C&amp;"Calibri,Italique"&amp;8 Citadel IT Solutions - Conseil IT, Cloud &amp;&amp; Cybersécurité - Lomé, Togo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"/>
  <sheetViews>
    <sheetView zoomScale="130" zoomScaleNormal="130" workbookViewId="0">
      <selection activeCell="C22" sqref="C22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58" customWidth="1"/>
    <col min="4" max="4" width="14" customWidth="1"/>
    <col min="5" max="5" width="15" customWidth="1"/>
    <col min="6" max="6" width="12" customWidth="1"/>
    <col min="7" max="7" width="10" customWidth="1"/>
    <col min="8" max="8" width="15.85546875" bestFit="1" customWidth="1"/>
    <col min="9" max="9" width="17.140625" bestFit="1" customWidth="1"/>
    <col min="10" max="10" width="16" customWidth="1"/>
    <col min="11" max="11" width="13" customWidth="1"/>
  </cols>
  <sheetData>
    <row r="1" spans="1:11" ht="31.5" customHeight="1" x14ac:dyDescent="0.25">
      <c r="A1" s="6" t="s">
        <v>62</v>
      </c>
      <c r="B1" s="6" t="s">
        <v>63</v>
      </c>
      <c r="C1" s="6" t="s">
        <v>64</v>
      </c>
      <c r="D1" s="6" t="s">
        <v>52</v>
      </c>
      <c r="E1" s="6" t="s">
        <v>65</v>
      </c>
      <c r="F1" s="6" t="s">
        <v>32</v>
      </c>
      <c r="G1" s="6" t="s">
        <v>33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 x14ac:dyDescent="0.25">
      <c r="A2" s="14">
        <v>1</v>
      </c>
      <c r="B2" s="7" t="s">
        <v>176</v>
      </c>
      <c r="C2" s="15" t="s">
        <v>177</v>
      </c>
      <c r="D2" s="14" t="s">
        <v>59</v>
      </c>
      <c r="E2" s="14" t="s">
        <v>58</v>
      </c>
      <c r="F2" s="14">
        <f>IF(D2="N/A",0,INDEX(Reference!$B$2:$B$5,MATCH(E2,Reference!$A$2:$A$5,0))*INDEX(Reference!$E$2:$E$5,MATCH(D2,Reference!$D$2:$D$5,0)))</f>
        <v>0</v>
      </c>
      <c r="G2" s="14">
        <f>IF(D2="N/A",0,INDEX(Reference!$B$2:$B$5,MATCH(E2,Reference!$A$2:$A$5,0)))</f>
        <v>2</v>
      </c>
      <c r="H2" s="15"/>
      <c r="I2" s="15"/>
      <c r="J2" s="7"/>
      <c r="K2" s="14"/>
    </row>
    <row r="3" spans="1:11" x14ac:dyDescent="0.25">
      <c r="A3" s="14">
        <v>2</v>
      </c>
      <c r="B3" s="7" t="s">
        <v>176</v>
      </c>
      <c r="C3" s="15" t="s">
        <v>178</v>
      </c>
      <c r="D3" s="14" t="s">
        <v>59</v>
      </c>
      <c r="E3" s="14" t="s">
        <v>58</v>
      </c>
      <c r="F3" s="14">
        <f>IF(D3="N/A",0,INDEX(Reference!$B$2:$B$5,MATCH(E3,Reference!$A$2:$A$5,0))*INDEX(Reference!$E$2:$E$5,MATCH(D3,Reference!$D$2:$D$5,0)))</f>
        <v>0</v>
      </c>
      <c r="G3" s="14">
        <f>IF(D3="N/A",0,INDEX(Reference!$B$2:$B$5,MATCH(E3,Reference!$A$2:$A$5,0)))</f>
        <v>2</v>
      </c>
      <c r="H3" s="15"/>
      <c r="I3" s="15"/>
      <c r="J3" s="7"/>
      <c r="K3" s="14"/>
    </row>
    <row r="4" spans="1:11" ht="25.5" x14ac:dyDescent="0.25">
      <c r="A4" s="14">
        <v>3</v>
      </c>
      <c r="B4" s="7" t="s">
        <v>176</v>
      </c>
      <c r="C4" s="15" t="s">
        <v>179</v>
      </c>
      <c r="D4" s="14" t="s">
        <v>59</v>
      </c>
      <c r="E4" s="14" t="s">
        <v>58</v>
      </c>
      <c r="F4" s="14">
        <f>IF(D4="N/A",0,INDEX(Reference!$B$2:$B$5,MATCH(E4,Reference!$A$2:$A$5,0))*INDEX(Reference!$E$2:$E$5,MATCH(D4,Reference!$D$2:$D$5,0)))</f>
        <v>0</v>
      </c>
      <c r="G4" s="14">
        <f>IF(D4="N/A",0,INDEX(Reference!$B$2:$B$5,MATCH(E4,Reference!$A$2:$A$5,0)))</f>
        <v>2</v>
      </c>
      <c r="H4" s="15"/>
      <c r="I4" s="15"/>
      <c r="J4" s="7"/>
      <c r="K4" s="14"/>
    </row>
    <row r="5" spans="1:11" ht="25.5" x14ac:dyDescent="0.25">
      <c r="A5" s="14">
        <v>4</v>
      </c>
      <c r="B5" s="7" t="s">
        <v>180</v>
      </c>
      <c r="C5" s="15" t="s">
        <v>181</v>
      </c>
      <c r="D5" s="14" t="s">
        <v>59</v>
      </c>
      <c r="E5" s="14" t="s">
        <v>58</v>
      </c>
      <c r="F5" s="14">
        <f>IF(D5="N/A",0,INDEX(Reference!$B$2:$B$5,MATCH(E5,Reference!$A$2:$A$5,0))*INDEX(Reference!$E$2:$E$5,MATCH(D5,Reference!$D$2:$D$5,0)))</f>
        <v>0</v>
      </c>
      <c r="G5" s="14">
        <f>IF(D5="N/A",0,INDEX(Reference!$B$2:$B$5,MATCH(E5,Reference!$A$2:$A$5,0)))</f>
        <v>2</v>
      </c>
      <c r="H5" s="15"/>
      <c r="I5" s="15"/>
      <c r="J5" s="7"/>
      <c r="K5" s="14"/>
    </row>
    <row r="6" spans="1:11" x14ac:dyDescent="0.25">
      <c r="A6" s="14">
        <v>5</v>
      </c>
      <c r="B6" s="7" t="s">
        <v>176</v>
      </c>
      <c r="C6" s="15" t="s">
        <v>182</v>
      </c>
      <c r="D6" s="14" t="s">
        <v>59</v>
      </c>
      <c r="E6" s="14" t="s">
        <v>58</v>
      </c>
      <c r="F6" s="14">
        <f>IF(D6="N/A",0,INDEX(Reference!$B$2:$B$5,MATCH(E6,Reference!$A$2:$A$5,0))*INDEX(Reference!$E$2:$E$5,MATCH(D6,Reference!$D$2:$D$5,0)))</f>
        <v>0</v>
      </c>
      <c r="G6" s="14">
        <f>IF(D6="N/A",0,INDEX(Reference!$B$2:$B$5,MATCH(E6,Reference!$A$2:$A$5,0)))</f>
        <v>2</v>
      </c>
      <c r="H6" s="15"/>
      <c r="I6" s="15"/>
      <c r="J6" s="7"/>
      <c r="K6" s="14"/>
    </row>
    <row r="7" spans="1:11" x14ac:dyDescent="0.25">
      <c r="A7" s="14">
        <v>6</v>
      </c>
      <c r="B7" s="7" t="s">
        <v>183</v>
      </c>
      <c r="C7" s="15" t="s">
        <v>184</v>
      </c>
      <c r="D7" s="14" t="s">
        <v>59</v>
      </c>
      <c r="E7" s="14" t="s">
        <v>58</v>
      </c>
      <c r="F7" s="14">
        <f>IF(D7="N/A",0,INDEX(Reference!$B$2:$B$5,MATCH(E7,Reference!$A$2:$A$5,0))*INDEX(Reference!$E$2:$E$5,MATCH(D7,Reference!$D$2:$D$5,0)))</f>
        <v>0</v>
      </c>
      <c r="G7" s="14">
        <f>IF(D7="N/A",0,INDEX(Reference!$B$2:$B$5,MATCH(E7,Reference!$A$2:$A$5,0)))</f>
        <v>2</v>
      </c>
      <c r="H7" s="15"/>
      <c r="I7" s="15"/>
      <c r="J7" s="7"/>
      <c r="K7" s="14"/>
    </row>
    <row r="8" spans="1:11" x14ac:dyDescent="0.25">
      <c r="A8" s="14">
        <v>7</v>
      </c>
      <c r="B8" s="7" t="s">
        <v>185</v>
      </c>
      <c r="C8" s="15" t="s">
        <v>186</v>
      </c>
      <c r="D8" s="14" t="s">
        <v>59</v>
      </c>
      <c r="E8" s="14" t="s">
        <v>58</v>
      </c>
      <c r="F8" s="14">
        <f>IF(D8="N/A",0,INDEX(Reference!$B$2:$B$5,MATCH(E8,Reference!$A$2:$A$5,0))*INDEX(Reference!$E$2:$E$5,MATCH(D8,Reference!$D$2:$D$5,0)))</f>
        <v>0</v>
      </c>
      <c r="G8" s="14">
        <f>IF(D8="N/A",0,INDEX(Reference!$B$2:$B$5,MATCH(E8,Reference!$A$2:$A$5,0)))</f>
        <v>2</v>
      </c>
      <c r="H8" s="15"/>
      <c r="I8" s="15"/>
      <c r="J8" s="7"/>
      <c r="K8" s="14"/>
    </row>
    <row r="9" spans="1:11" x14ac:dyDescent="0.25">
      <c r="A9" s="14">
        <v>8</v>
      </c>
      <c r="B9" s="7" t="s">
        <v>187</v>
      </c>
      <c r="C9" s="15" t="s">
        <v>188</v>
      </c>
      <c r="D9" s="14" t="s">
        <v>59</v>
      </c>
      <c r="E9" s="14" t="s">
        <v>58</v>
      </c>
      <c r="F9" s="14">
        <f>IF(D9="N/A",0,INDEX(Reference!$B$2:$B$5,MATCH(E9,Reference!$A$2:$A$5,0))*INDEX(Reference!$E$2:$E$5,MATCH(D9,Reference!$D$2:$D$5,0)))</f>
        <v>0</v>
      </c>
      <c r="G9" s="14">
        <f>IF(D9="N/A",0,INDEX(Reference!$B$2:$B$5,MATCH(E9,Reference!$A$2:$A$5,0)))</f>
        <v>2</v>
      </c>
      <c r="H9" s="15"/>
      <c r="I9" s="15"/>
      <c r="J9" s="7"/>
      <c r="K9" s="14"/>
    </row>
    <row r="10" spans="1:11" x14ac:dyDescent="0.25">
      <c r="A10" s="14">
        <v>9</v>
      </c>
      <c r="B10" s="7" t="s">
        <v>189</v>
      </c>
      <c r="C10" s="15" t="s">
        <v>190</v>
      </c>
      <c r="D10" s="14" t="s">
        <v>59</v>
      </c>
      <c r="E10" s="14" t="s">
        <v>58</v>
      </c>
      <c r="F10" s="14">
        <f>IF(D10="N/A",0,INDEX(Reference!$B$2:$B$5,MATCH(E10,Reference!$A$2:$A$5,0))*INDEX(Reference!$E$2:$E$5,MATCH(D10,Reference!$D$2:$D$5,0)))</f>
        <v>0</v>
      </c>
      <c r="G10" s="14">
        <f>IF(D10="N/A",0,INDEX(Reference!$B$2:$B$5,MATCH(E10,Reference!$A$2:$A$5,0)))</f>
        <v>2</v>
      </c>
      <c r="H10" s="15"/>
      <c r="I10" s="15"/>
      <c r="J10" s="7"/>
      <c r="K10" s="14"/>
    </row>
    <row r="11" spans="1:11" x14ac:dyDescent="0.25">
      <c r="A11" s="14">
        <v>10</v>
      </c>
      <c r="B11" s="7" t="s">
        <v>93</v>
      </c>
      <c r="C11" s="15" t="s">
        <v>191</v>
      </c>
      <c r="D11" s="14" t="s">
        <v>59</v>
      </c>
      <c r="E11" s="14" t="s">
        <v>58</v>
      </c>
      <c r="F11" s="14">
        <f>IF(D11="N/A",0,INDEX(Reference!$B$2:$B$5,MATCH(E11,Reference!$A$2:$A$5,0))*INDEX(Reference!$E$2:$E$5,MATCH(D11,Reference!$D$2:$D$5,0)))</f>
        <v>0</v>
      </c>
      <c r="G11" s="14">
        <f>IF(D11="N/A",0,INDEX(Reference!$B$2:$B$5,MATCH(E11,Reference!$A$2:$A$5,0)))</f>
        <v>2</v>
      </c>
      <c r="H11" s="15"/>
      <c r="I11" s="15"/>
      <c r="J11" s="7"/>
      <c r="K11" s="14"/>
    </row>
    <row r="12" spans="1:11" x14ac:dyDescent="0.25">
      <c r="A12" s="14">
        <v>11</v>
      </c>
      <c r="B12" s="7" t="s">
        <v>192</v>
      </c>
      <c r="C12" s="15" t="s">
        <v>193</v>
      </c>
      <c r="D12" s="14" t="s">
        <v>59</v>
      </c>
      <c r="E12" s="14" t="s">
        <v>58</v>
      </c>
      <c r="F12" s="14">
        <f>IF(D12="N/A",0,INDEX(Reference!$B$2:$B$5,MATCH(E12,Reference!$A$2:$A$5,0))*INDEX(Reference!$E$2:$E$5,MATCH(D12,Reference!$D$2:$D$5,0)))</f>
        <v>0</v>
      </c>
      <c r="G12" s="14">
        <f>IF(D12="N/A",0,INDEX(Reference!$B$2:$B$5,MATCH(E12,Reference!$A$2:$A$5,0)))</f>
        <v>2</v>
      </c>
      <c r="H12" s="15"/>
      <c r="I12" s="15"/>
      <c r="J12" s="7"/>
      <c r="K12" s="14"/>
    </row>
  </sheetData>
  <conditionalFormatting sqref="D2:D12">
    <cfRule type="cellIs" dxfId="7" priority="2" operator="equal">
      <formula>"Conforme"</formula>
    </cfRule>
    <cfRule type="cellIs" dxfId="6" priority="3" operator="equal">
      <formula>"Partiel"</formula>
    </cfRule>
    <cfRule type="cellIs" dxfId="5" priority="4" operator="equal">
      <formula>"Non conforme"</formula>
    </cfRule>
    <cfRule type="cellIs" dxfId="4" priority="5" operator="equal">
      <formula>"N/A"</formula>
    </cfRule>
  </conditionalFormatting>
  <dataValidations disablePrompts="1" count="2">
    <dataValidation type="list" error="Choisir une valeur dans la liste" prompt="Conforme / Partiel / Non conforme / N/A" sqref="D2:D12">
      <formula1>"Conforme,Partiel,Non conforme,N/A"</formula1>
      <formula2>0</formula2>
    </dataValidation>
    <dataValidation type="list" prompt="Critique / Élevé / Moyen / Faible" sqref="E2:E12">
      <formula1>"Critique,Élevé,Moyen,Faible"</formula1>
      <formula2>0</formula2>
    </dataValidation>
  </dataValidations>
  <pageMargins left="0.3" right="0.3" top="0.5" bottom="0.5" header="0.2" footer="0.2"/>
  <pageSetup paperSize="9" scale="72" fitToHeight="0" orientation="landscape" horizontalDpi="300" verticalDpi="300" r:id="rId1"/>
  <headerFooter>
    <oddHeader>&amp;L&amp;"Calibri,Gras"&amp;9 Citadel IT Solutions&amp;R&amp;9 Page &amp;P / &amp;N</oddHeader>
    <oddFooter>&amp;C&amp;"Calibri,Italique"&amp;8 Citadel IT Solutions - Conseil IT, Cloud &amp;&amp; Cybersécurité - Lomé, Togo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zoomScale="130" zoomScaleNormal="130" workbookViewId="0">
      <selection activeCell="C14" sqref="C14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58" customWidth="1"/>
    <col min="4" max="4" width="14" customWidth="1"/>
    <col min="5" max="5" width="15" customWidth="1"/>
    <col min="6" max="6" width="12" customWidth="1"/>
    <col min="7" max="7" width="10" customWidth="1"/>
    <col min="8" max="8" width="15.85546875" bestFit="1" customWidth="1"/>
    <col min="9" max="9" width="17.140625" bestFit="1" customWidth="1"/>
    <col min="10" max="10" width="16" customWidth="1"/>
    <col min="11" max="11" width="13" customWidth="1"/>
  </cols>
  <sheetData>
    <row r="1" spans="1:11" ht="31.5" customHeight="1" x14ac:dyDescent="0.25">
      <c r="A1" s="6" t="s">
        <v>62</v>
      </c>
      <c r="B1" s="6" t="s">
        <v>63</v>
      </c>
      <c r="C1" s="6" t="s">
        <v>64</v>
      </c>
      <c r="D1" s="6" t="s">
        <v>52</v>
      </c>
      <c r="E1" s="6" t="s">
        <v>65</v>
      </c>
      <c r="F1" s="6" t="s">
        <v>32</v>
      </c>
      <c r="G1" s="6" t="s">
        <v>33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 x14ac:dyDescent="0.25">
      <c r="A2" s="14">
        <v>1</v>
      </c>
      <c r="B2" s="7" t="s">
        <v>194</v>
      </c>
      <c r="C2" s="15" t="s">
        <v>195</v>
      </c>
      <c r="D2" s="14" t="s">
        <v>59</v>
      </c>
      <c r="E2" s="14" t="s">
        <v>58</v>
      </c>
      <c r="F2" s="14">
        <f>IF(D2="N/A",0,INDEX(Reference!$B$2:$B$5,MATCH(E2,Reference!$A$2:$A$5,0))*INDEX(Reference!$E$2:$E$5,MATCH(D2,Reference!$D$2:$D$5,0)))</f>
        <v>0</v>
      </c>
      <c r="G2" s="14">
        <f>IF(D2="N/A",0,INDEX(Reference!$B$2:$B$5,MATCH(E2,Reference!$A$2:$A$5,0)))</f>
        <v>2</v>
      </c>
      <c r="H2" s="15"/>
      <c r="I2" s="15"/>
      <c r="J2" s="7"/>
      <c r="K2" s="14"/>
    </row>
    <row r="3" spans="1:11" ht="25.5" x14ac:dyDescent="0.25">
      <c r="A3" s="14">
        <v>2</v>
      </c>
      <c r="B3" s="7" t="s">
        <v>194</v>
      </c>
      <c r="C3" s="15" t="s">
        <v>196</v>
      </c>
      <c r="D3" s="14" t="s">
        <v>59</v>
      </c>
      <c r="E3" s="14" t="s">
        <v>58</v>
      </c>
      <c r="F3" s="14">
        <f>IF(D3="N/A",0,INDEX(Reference!$B$2:$B$5,MATCH(E3,Reference!$A$2:$A$5,0))*INDEX(Reference!$E$2:$E$5,MATCH(D3,Reference!$D$2:$D$5,0)))</f>
        <v>0</v>
      </c>
      <c r="G3" s="14">
        <f>IF(D3="N/A",0,INDEX(Reference!$B$2:$B$5,MATCH(E3,Reference!$A$2:$A$5,0)))</f>
        <v>2</v>
      </c>
      <c r="H3" s="15"/>
      <c r="I3" s="15"/>
      <c r="J3" s="7"/>
      <c r="K3" s="14"/>
    </row>
    <row r="4" spans="1:11" x14ac:dyDescent="0.25">
      <c r="A4" s="14">
        <v>3</v>
      </c>
      <c r="B4" s="7" t="s">
        <v>152</v>
      </c>
      <c r="C4" s="15" t="s">
        <v>197</v>
      </c>
      <c r="D4" s="14" t="s">
        <v>59</v>
      </c>
      <c r="E4" s="14" t="s">
        <v>58</v>
      </c>
      <c r="F4" s="14">
        <f>IF(D4="N/A",0,INDEX(Reference!$B$2:$B$5,MATCH(E4,Reference!$A$2:$A$5,0))*INDEX(Reference!$E$2:$E$5,MATCH(D4,Reference!$D$2:$D$5,0)))</f>
        <v>0</v>
      </c>
      <c r="G4" s="14">
        <f>IF(D4="N/A",0,INDEX(Reference!$B$2:$B$5,MATCH(E4,Reference!$A$2:$A$5,0)))</f>
        <v>2</v>
      </c>
      <c r="H4" s="15"/>
      <c r="I4" s="15"/>
      <c r="J4" s="7"/>
      <c r="K4" s="14"/>
    </row>
    <row r="5" spans="1:11" x14ac:dyDescent="0.25">
      <c r="A5" s="14">
        <v>4</v>
      </c>
      <c r="B5" s="7" t="s">
        <v>152</v>
      </c>
      <c r="C5" s="15" t="s">
        <v>198</v>
      </c>
      <c r="D5" s="14" t="s">
        <v>59</v>
      </c>
      <c r="E5" s="14" t="s">
        <v>58</v>
      </c>
      <c r="F5" s="14">
        <f>IF(D5="N/A",0,INDEX(Reference!$B$2:$B$5,MATCH(E5,Reference!$A$2:$A$5,0))*INDEX(Reference!$E$2:$E$5,MATCH(D5,Reference!$D$2:$D$5,0)))</f>
        <v>0</v>
      </c>
      <c r="G5" s="14">
        <f>IF(D5="N/A",0,INDEX(Reference!$B$2:$B$5,MATCH(E5,Reference!$A$2:$A$5,0)))</f>
        <v>2</v>
      </c>
      <c r="H5" s="15"/>
      <c r="I5" s="15"/>
      <c r="J5" s="7"/>
      <c r="K5" s="14"/>
    </row>
    <row r="6" spans="1:11" x14ac:dyDescent="0.25">
      <c r="A6" s="14">
        <v>5</v>
      </c>
      <c r="B6" s="7" t="s">
        <v>199</v>
      </c>
      <c r="C6" s="15" t="s">
        <v>200</v>
      </c>
      <c r="D6" s="14" t="s">
        <v>59</v>
      </c>
      <c r="E6" s="14" t="s">
        <v>58</v>
      </c>
      <c r="F6" s="14">
        <f>IF(D6="N/A",0,INDEX(Reference!$B$2:$B$5,MATCH(E6,Reference!$A$2:$A$5,0))*INDEX(Reference!$E$2:$E$5,MATCH(D6,Reference!$D$2:$D$5,0)))</f>
        <v>0</v>
      </c>
      <c r="G6" s="14">
        <f>IF(D6="N/A",0,INDEX(Reference!$B$2:$B$5,MATCH(E6,Reference!$A$2:$A$5,0)))</f>
        <v>2</v>
      </c>
      <c r="H6" s="15"/>
      <c r="I6" s="15"/>
      <c r="J6" s="7"/>
      <c r="K6" s="14"/>
    </row>
    <row r="7" spans="1:11" x14ac:dyDescent="0.25">
      <c r="A7" s="14">
        <v>6</v>
      </c>
      <c r="B7" s="7" t="s">
        <v>201</v>
      </c>
      <c r="C7" s="15" t="s">
        <v>202</v>
      </c>
      <c r="D7" s="14" t="s">
        <v>59</v>
      </c>
      <c r="E7" s="14" t="s">
        <v>58</v>
      </c>
      <c r="F7" s="14">
        <f>IF(D7="N/A",0,INDEX(Reference!$B$2:$B$5,MATCH(E7,Reference!$A$2:$A$5,0))*INDEX(Reference!$E$2:$E$5,MATCH(D7,Reference!$D$2:$D$5,0)))</f>
        <v>0</v>
      </c>
      <c r="G7" s="14">
        <f>IF(D7="N/A",0,INDEX(Reference!$B$2:$B$5,MATCH(E7,Reference!$A$2:$A$5,0)))</f>
        <v>2</v>
      </c>
      <c r="H7" s="15"/>
      <c r="I7" s="15"/>
      <c r="J7" s="7"/>
      <c r="K7" s="14"/>
    </row>
  </sheetData>
  <conditionalFormatting sqref="D2:D7">
    <cfRule type="cellIs" dxfId="3" priority="2" operator="equal">
      <formula>"Conforme"</formula>
    </cfRule>
    <cfRule type="cellIs" dxfId="2" priority="3" operator="equal">
      <formula>"Partiel"</formula>
    </cfRule>
    <cfRule type="cellIs" dxfId="1" priority="4" operator="equal">
      <formula>"Non conforme"</formula>
    </cfRule>
    <cfRule type="cellIs" dxfId="0" priority="5" operator="equal">
      <formula>"N/A"</formula>
    </cfRule>
  </conditionalFormatting>
  <dataValidations disablePrompts="1" count="2">
    <dataValidation type="list" error="Choisir une valeur dans la liste" prompt="Conforme / Partiel / Non conforme / N/A" sqref="D2:D7">
      <formula1>"Conforme,Partiel,Non conforme,N/A"</formula1>
      <formula2>0</formula2>
    </dataValidation>
    <dataValidation type="list" prompt="Critique / Élevé / Moyen / Faible" sqref="E2:E7">
      <formula1>"Critique,Élevé,Moyen,Faible"</formula1>
      <formula2>0</formula2>
    </dataValidation>
  </dataValidations>
  <pageMargins left="0.3" right="0.3" top="0.5" bottom="0.5" header="0.2" footer="0.2"/>
  <pageSetup paperSize="9" scale="72" fitToHeight="0" orientation="landscape" horizontalDpi="300" verticalDpi="300" r:id="rId1"/>
  <headerFooter>
    <oddHeader>&amp;L&amp;"Calibri,Gras"&amp;9 Citadel IT Solutions&amp;R&amp;9 Page &amp;P / &amp;N</oddHeader>
    <oddFooter>&amp;C&amp;"Calibri,Italique"&amp;8 Citadel IT Solutions - Conseil IT, Cloud &amp;&amp; Cybersécurité - Lomé, Togo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18</vt:i4>
      </vt:variant>
    </vt:vector>
  </HeadingPairs>
  <TitlesOfParts>
    <vt:vector size="30" baseType="lpstr">
      <vt:lpstr>Mode d'emploi</vt:lpstr>
      <vt:lpstr>Tableau de bord</vt:lpstr>
      <vt:lpstr>Reference</vt:lpstr>
      <vt:lpstr>1 Gouvernance</vt:lpstr>
      <vt:lpstr>2 Réseau</vt:lpstr>
      <vt:lpstr>3 Protection</vt:lpstr>
      <vt:lpstr>4 Accès</vt:lpstr>
      <vt:lpstr>5 Paiement</vt:lpstr>
      <vt:lpstr>6 PMS</vt:lpstr>
      <vt:lpstr>7 Données</vt:lpstr>
      <vt:lpstr>8 Physique</vt:lpstr>
      <vt:lpstr>9 Continuité</vt:lpstr>
      <vt:lpstr>'1 Gouvernance'!Impression_des_titres</vt:lpstr>
      <vt:lpstr>'2 Réseau'!Impression_des_titres</vt:lpstr>
      <vt:lpstr>'3 Protection'!Impression_des_titres</vt:lpstr>
      <vt:lpstr>'4 Accès'!Impression_des_titres</vt:lpstr>
      <vt:lpstr>'5 Paiement'!Impression_des_titres</vt:lpstr>
      <vt:lpstr>'6 PMS'!Impression_des_titres</vt:lpstr>
      <vt:lpstr>'7 Données'!Impression_des_titres</vt:lpstr>
      <vt:lpstr>'8 Physique'!Impression_des_titres</vt:lpstr>
      <vt:lpstr>'9 Continuité'!Impression_des_titres</vt:lpstr>
      <vt:lpstr>'1 Gouvernance'!Zone_d_impression</vt:lpstr>
      <vt:lpstr>'2 Réseau'!Zone_d_impression</vt:lpstr>
      <vt:lpstr>'3 Protection'!Zone_d_impression</vt:lpstr>
      <vt:lpstr>'4 Accès'!Zone_d_impression</vt:lpstr>
      <vt:lpstr>'5 Paiement'!Zone_d_impression</vt:lpstr>
      <vt:lpstr>'6 PMS'!Zone_d_impression</vt:lpstr>
      <vt:lpstr>'7 Données'!Zone_d_impression</vt:lpstr>
      <vt:lpstr>'8 Physique'!Zone_d_impression</vt:lpstr>
      <vt:lpstr>'9 Continuité'!Zone_d_impression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Grille Audit IT Hotelier v1.1 - Citadel IT Solutions</dc:title>
  <dc:subject/>
  <dc:creator>Direction IT</dc:creator>
  <dc:description/>
  <cp:lastModifiedBy>oversight</cp:lastModifiedBy>
  <cp:revision>0</cp:revision>
  <cp:lastPrinted>2026-07-16T16:23:36Z</cp:lastPrinted>
  <dcterms:created xsi:type="dcterms:W3CDTF">2026-07-15T15:36:47Z</dcterms:created>
  <dcterms:modified xsi:type="dcterms:W3CDTF">2026-07-16T16:26:23Z</dcterms:modified>
  <dc:language>en-US</dc:language>
</cp:coreProperties>
</file>