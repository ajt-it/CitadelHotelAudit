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oversight\Desktop\audit\"/>
    </mc:Choice>
  </mc:AlternateContent>
  <bookViews>
    <workbookView xWindow="0" yWindow="0" windowWidth="28800" windowHeight="12435" tabRatio="500"/>
  </bookViews>
  <sheets>
    <sheet name="Mode d'emploi" sheetId="1" r:id="rId1"/>
    <sheet name="Tableau de bord" sheetId="2" r:id="rId2"/>
    <sheet name="Reference" sheetId="3" state="hidden" r:id="rId3"/>
    <sheet name="Grille Audit" sheetId="4" r:id="rId4"/>
  </sheets>
  <definedNames>
    <definedName name="_xlnm.Print_Titles" localSheetId="3">'Grille Audit'!$1:$1</definedName>
    <definedName name="_xlnm.Print_Area" localSheetId="3">'Grille Audit'!$A$1:$L$72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72" i="4" l="1"/>
  <c r="G72" i="4"/>
  <c r="H71" i="4"/>
  <c r="G71" i="4"/>
  <c r="H70" i="4"/>
  <c r="G70" i="4"/>
  <c r="H69" i="4"/>
  <c r="G69" i="4"/>
  <c r="H68" i="4"/>
  <c r="G68" i="4"/>
  <c r="H67" i="4"/>
  <c r="G67" i="4"/>
  <c r="H66" i="4"/>
  <c r="G66" i="4"/>
  <c r="H65" i="4"/>
  <c r="G65" i="4"/>
  <c r="H64" i="4"/>
  <c r="G64" i="4"/>
  <c r="H63" i="4"/>
  <c r="G63" i="4"/>
  <c r="H62" i="4"/>
  <c r="G62" i="4"/>
  <c r="H61" i="4"/>
  <c r="G61" i="4"/>
  <c r="H60" i="4"/>
  <c r="G60" i="4"/>
  <c r="H59" i="4"/>
  <c r="G59" i="4"/>
  <c r="B15" i="2" s="1"/>
  <c r="H58" i="4"/>
  <c r="G58" i="4"/>
  <c r="H57" i="4"/>
  <c r="G57" i="4"/>
  <c r="H56" i="4"/>
  <c r="G56" i="4"/>
  <c r="H55" i="4"/>
  <c r="G55" i="4"/>
  <c r="H54" i="4"/>
  <c r="G54" i="4"/>
  <c r="H53" i="4"/>
  <c r="G53" i="4"/>
  <c r="H52" i="4"/>
  <c r="G52" i="4"/>
  <c r="H51" i="4"/>
  <c r="G51" i="4"/>
  <c r="H50" i="4"/>
  <c r="G50" i="4"/>
  <c r="H49" i="4"/>
  <c r="G49" i="4"/>
  <c r="H48" i="4"/>
  <c r="G48" i="4"/>
  <c r="H47" i="4"/>
  <c r="G47" i="4"/>
  <c r="H46" i="4"/>
  <c r="G46" i="4"/>
  <c r="H45" i="4"/>
  <c r="G45" i="4"/>
  <c r="H44" i="4"/>
  <c r="G44" i="4"/>
  <c r="H43" i="4"/>
  <c r="G43" i="4"/>
  <c r="H42" i="4"/>
  <c r="G42" i="4"/>
  <c r="H41" i="4"/>
  <c r="G41" i="4"/>
  <c r="B13" i="2" s="1"/>
  <c r="H40" i="4"/>
  <c r="G40" i="4"/>
  <c r="H39" i="4"/>
  <c r="G39" i="4"/>
  <c r="H38" i="4"/>
  <c r="G38" i="4"/>
  <c r="H37" i="4"/>
  <c r="G37" i="4"/>
  <c r="H36" i="4"/>
  <c r="G36" i="4"/>
  <c r="H35" i="4"/>
  <c r="G35" i="4"/>
  <c r="H34" i="4"/>
  <c r="G34" i="4"/>
  <c r="H33" i="4"/>
  <c r="G33" i="4"/>
  <c r="H32" i="4"/>
  <c r="G32" i="4"/>
  <c r="H31" i="4"/>
  <c r="G31" i="4"/>
  <c r="H30" i="4"/>
  <c r="G30" i="4"/>
  <c r="H29" i="4"/>
  <c r="G29" i="4"/>
  <c r="H28" i="4"/>
  <c r="G28" i="4"/>
  <c r="H27" i="4"/>
  <c r="G27" i="4"/>
  <c r="H26" i="4"/>
  <c r="G26" i="4"/>
  <c r="H25" i="4"/>
  <c r="G25" i="4"/>
  <c r="H24" i="4"/>
  <c r="G24" i="4"/>
  <c r="B11" i="2" s="1"/>
  <c r="H23" i="4"/>
  <c r="G23" i="4"/>
  <c r="H22" i="4"/>
  <c r="G22" i="4"/>
  <c r="H21" i="4"/>
  <c r="G21" i="4"/>
  <c r="H20" i="4"/>
  <c r="G20" i="4"/>
  <c r="H19" i="4"/>
  <c r="G19" i="4"/>
  <c r="H18" i="4"/>
  <c r="G18" i="4"/>
  <c r="H17" i="4"/>
  <c r="G17" i="4"/>
  <c r="H16" i="4"/>
  <c r="G16" i="4"/>
  <c r="H15" i="4"/>
  <c r="G15" i="4"/>
  <c r="H14" i="4"/>
  <c r="G14" i="4"/>
  <c r="H13" i="4"/>
  <c r="G13" i="4"/>
  <c r="H12" i="4"/>
  <c r="G12" i="4"/>
  <c r="H11" i="4"/>
  <c r="G11" i="4"/>
  <c r="H10" i="4"/>
  <c r="G10" i="4"/>
  <c r="H9" i="4"/>
  <c r="G9" i="4"/>
  <c r="H8" i="4"/>
  <c r="G8" i="4"/>
  <c r="H7" i="4"/>
  <c r="G7" i="4"/>
  <c r="H6" i="4"/>
  <c r="G6" i="4"/>
  <c r="H5" i="4"/>
  <c r="G5" i="4"/>
  <c r="H4" i="4"/>
  <c r="G4" i="4"/>
  <c r="H3" i="4"/>
  <c r="G3" i="4"/>
  <c r="H2" i="4"/>
  <c r="G2" i="4"/>
  <c r="B9" i="2" s="1"/>
  <c r="B17" i="2" s="1"/>
  <c r="C16" i="2"/>
  <c r="B16" i="2"/>
  <c r="D16" i="2" s="1"/>
  <c r="C15" i="2"/>
  <c r="C14" i="2"/>
  <c r="B14" i="2"/>
  <c r="D14" i="2" s="1"/>
  <c r="C13" i="2"/>
  <c r="D13" i="2" s="1"/>
  <c r="C12" i="2"/>
  <c r="B12" i="2"/>
  <c r="D12" i="2" s="1"/>
  <c r="C11" i="2"/>
  <c r="C10" i="2"/>
  <c r="B10" i="2"/>
  <c r="D10" i="2" s="1"/>
  <c r="C9" i="2"/>
  <c r="D9" i="2" s="1"/>
  <c r="D11" i="2" l="1"/>
  <c r="D15" i="2"/>
  <c r="C17" i="2"/>
  <c r="D17" i="2" s="1"/>
</calcChain>
</file>

<file path=xl/sharedStrings.xml><?xml version="1.0" encoding="utf-8"?>
<sst xmlns="http://schemas.openxmlformats.org/spreadsheetml/2006/main" count="426" uniqueCount="180">
  <si>
    <t>MODE D'EMPLOI - GRILLE D'AUDIT IT HOTELIER</t>
  </si>
  <si>
    <t>1. Objectif</t>
  </si>
  <si>
    <t>Ce fichier permet d'auditer l'infrastructure IT d'un établissement hôtelier (réseau, paiement, PMS, données clients, sécurité physique, continuité d'activité).</t>
  </si>
  <si>
    <t>2. Utilisation</t>
  </si>
  <si>
    <t>- Renseigner l'onglet 'Grille Audit' : pour chaque point de contrôle, choisir un Statut (Conforme / Partiel / Non conforme / N/A) et un Niveau de risque (Critique / Élevé / Moyen / Faible) via les listes déroulantes.</t>
  </si>
  <si>
    <t>- Documenter la colonne 'Constat / Preuve' (ce qui a été observé) et 'Recommandation' (action à mener).</t>
  </si>
  <si>
    <t>- Renseigner 'Responsable' et 'Échéance' pour le suivi des actions correctives.</t>
  </si>
  <si>
    <t>3. Calcul automatique</t>
  </si>
  <si>
    <t>- L'onglet 'Tableau de bord' calcule automatiquement le taux de conformité par domaine et au global, à partir des statuts saisis.</t>
  </si>
  <si>
    <t>- Aucune colonne de score n'est à remplir manuellement : tout se met à jour automatiquement.</t>
  </si>
  <si>
    <t>4. Onglets</t>
  </si>
  <si>
    <t>- Grille Audit : la checklist détaillée (71 points de contrôle répartis en 8 domaines).</t>
  </si>
  <si>
    <t>- Tableau de bord : synthèse visuelle du niveau de conformité par domaine.</t>
  </si>
  <si>
    <t>- Reference : tables de calcul internes (masquée, ne pas modifier).</t>
  </si>
  <si>
    <t>5. Périmètre couvert</t>
  </si>
  <si>
    <t>- Réseau &amp; Infrastructure (VLAN, Wifi, segmentation, accès distant)</t>
  </si>
  <si>
    <t>- Paiement &amp; Terminaux (TPE, PCI-DSS, VCC, guichets bancaires)</t>
  </si>
  <si>
    <t>- PMS &amp; Applications métier (comptes, mises à jour, sauvegardes, intégrations)</t>
  </si>
  <si>
    <t>- Données clients &amp; Confidentialité (stockage, chiffrement, rétention, conformité légale)</t>
  </si>
  <si>
    <t>- Sécurité physique &amp; Organisationnelle (accès, sensibilisation, prestataires)</t>
  </si>
  <si>
    <t>- Continuité d'activité &amp; Sauvegardes (plan dégradé, RTO, tests)</t>
  </si>
  <si>
    <t>6. Adaptation</t>
  </si>
  <si>
    <t>Cette grille est un point de départ : ajouter, retirer ou repondérer les points de contrôle selon la taille et le contexte réel de l'établissement audité.</t>
  </si>
  <si>
    <t>TABLEAU DE BORD - AUDIT IT HOTELIER</t>
  </si>
  <si>
    <t>Établissement :</t>
  </si>
  <si>
    <t>Date de l'audit :</t>
  </si>
  <si>
    <t>Auditeur :</t>
  </si>
  <si>
    <t>Domaine</t>
  </si>
  <si>
    <t>Score obtenu</t>
  </si>
  <si>
    <t>Score max</t>
  </si>
  <si>
    <t>Taux de conformité</t>
  </si>
  <si>
    <t>Réseau &amp; Infrastructure</t>
  </si>
  <si>
    <t>Protection des postes, serveurs &amp; supervision</t>
  </si>
  <si>
    <t>Gouvernance &amp; cycle de vie des accès</t>
  </si>
  <si>
    <t>Paiement &amp; Terminaux</t>
  </si>
  <si>
    <t>PMS &amp; Applications métier</t>
  </si>
  <si>
    <t>Données clients &amp; Confidentialité</t>
  </si>
  <si>
    <t>Sécurité physique &amp; Organisationnelle</t>
  </si>
  <si>
    <t>Continuité d'activité &amp; Sauvegardes</t>
  </si>
  <si>
    <t>TOTAL GENERAL</t>
  </si>
  <si>
    <t>Méthode de calcul</t>
  </si>
  <si>
    <t>- Score obtenu = Poids du risque (Critique=4, Élevé=3, Moyen=2, Faible=1) x Multiplicateur du statut</t>
  </si>
  <si>
    <t>- Multiplicateur : Conforme=1, Partiel=0.5, Non conforme=0, N/A=exclu du calcul</t>
  </si>
  <si>
    <t>- Taux de conformité = Score obtenu / Score max, par domaine et au total</t>
  </si>
  <si>
    <t>- Modifier les statuts et niveaux de risque dans l'onglet 'Grille Audit' (colonnes E et F)</t>
  </si>
  <si>
    <t>Risque</t>
  </si>
  <si>
    <t>Poids</t>
  </si>
  <si>
    <t>Statut</t>
  </si>
  <si>
    <t>Multiplicateur</t>
  </si>
  <si>
    <t>Critique</t>
  </si>
  <si>
    <t>Conforme</t>
  </si>
  <si>
    <t>Élevé</t>
  </si>
  <si>
    <t>Partiel</t>
  </si>
  <si>
    <t>Moyen</t>
  </si>
  <si>
    <t>Non conforme</t>
  </si>
  <si>
    <t>Faible</t>
  </si>
  <si>
    <t>N/A</t>
  </si>
  <si>
    <t>N°</t>
  </si>
  <si>
    <t>Sous-domaine</t>
  </si>
  <si>
    <t>Point de contrôle</t>
  </si>
  <si>
    <t>Niveau de risque</t>
  </si>
  <si>
    <t>Constat / Preuve</t>
  </si>
  <si>
    <t>Recommandation</t>
  </si>
  <si>
    <t>Responsable</t>
  </si>
  <si>
    <t>Échéance</t>
  </si>
  <si>
    <t>Segmentation</t>
  </si>
  <si>
    <t>VLAN dédié au réseau invités (Wifi) séparé du réseau administratif</t>
  </si>
  <si>
    <t>VLAN dédié aux TPE / paiement isolé de tout autre trafic</t>
  </si>
  <si>
    <t>VLAN dédié à la vidéosurveillance / domotique / IoT</t>
  </si>
  <si>
    <t>Règles firewall inter-VLAN en mode deny-by-default</t>
  </si>
  <si>
    <t>Wifi</t>
  </si>
  <si>
    <t>Réseau invités en WPA2/WPA3 avec mots de passe changés régulièrement</t>
  </si>
  <si>
    <t>Portail captif avec isolation client-à-client (AP isolation) activée</t>
  </si>
  <si>
    <t>Réseau staff/administratif en WPA2-Enterprise (802.1X) si possible</t>
  </si>
  <si>
    <t>Accès distant</t>
  </si>
  <si>
    <t>VPN utilisé pour toute administration à distance (pas de RDP exposé)</t>
  </si>
  <si>
    <t>Authentification à deux facteurs sur les accès VPN/admin</t>
  </si>
  <si>
    <t>Équipements</t>
  </si>
  <si>
    <t>Firmware des routeurs/switches/points d'accès à jour</t>
  </si>
  <si>
    <t>Mots de passe par défaut changés sur tous les équipements réseau</t>
  </si>
  <si>
    <t>Documentation</t>
  </si>
  <si>
    <t>Schéma réseau à jour et disponible</t>
  </si>
  <si>
    <t>Vérification active</t>
  </si>
  <si>
    <t>Test technique : un poste sur le VLAN invités ne parvient PAS à pinguer un équipement du VLAN administratif/serveurs</t>
  </si>
  <si>
    <t>Test technique : un poste sur le VLAN invités ne parvient PAS à pinguer un équipement du VLAN TPE/paiement</t>
  </si>
  <si>
    <t>Scan de découverte réseau effectué sur chaque VLAN pour repérer tout équipement mal rattaché (imprimante, téléphone IP, caméra)</t>
  </si>
  <si>
    <t>Téléphones IP et imprimantes réseau rattachés à un VLAN dédié, distinct du VLAN administratif</t>
  </si>
  <si>
    <t>Protection endpoint</t>
  </si>
  <si>
    <t>Antivirus/EDR déployé sur l'ensemble des postes de travail</t>
  </si>
  <si>
    <t>Protection serveurs</t>
  </si>
  <si>
    <t>Protection dédiée aux serveurs (EDR serveur), distincte d'un antivirus poste classique</t>
  </si>
  <si>
    <t>Exposition</t>
  </si>
  <si>
    <t>Serveurs critiques (PMS, base de données) non exposés directement à Internet</t>
  </si>
  <si>
    <t>Filtrage</t>
  </si>
  <si>
    <t>Filtrage web / proxy en place pour encadrer les accès Internet sortants</t>
  </si>
  <si>
    <t>Supervision</t>
  </si>
  <si>
    <t>Outil de supervision permettant de détecter la panne d'un équipement ou service critique</t>
  </si>
  <si>
    <t>Alertes de supervision reçues et traitées par une personne identifiée</t>
  </si>
  <si>
    <t>Changements</t>
  </si>
  <si>
    <t>Procédure de gestion des changements documentée (qui valide une modification réseau/système)</t>
  </si>
  <si>
    <t>Schéma d'infrastructure réseau formalisé, daté, et mis à jour à chaque changement majeur</t>
  </si>
  <si>
    <t>Accès</t>
  </si>
  <si>
    <t>Toute attribution d'accès (PMS, Wifi admin, VPN...) tracée via une fiche ou un ticket</t>
  </si>
  <si>
    <t>Procédure formelle de notification à l'IT lors du départ d'un employé (désactivation des accès)</t>
  </si>
  <si>
    <t>Journal ou traçabilité permettant de savoir qui a attribué quel accès et quand</t>
  </si>
  <si>
    <t>Comptes PMS et POS (restauration/bar) nominatifs, non partagés entre employés</t>
  </si>
  <si>
    <t>TPE</t>
  </si>
  <si>
    <t>Terminaux de paiement sur VLAN dédié isolé du reste du réseau</t>
  </si>
  <si>
    <t>Connexion TPE chiffrée via liaison opérateur bancaire sécurisée</t>
  </si>
  <si>
    <t>PCI-DSS</t>
  </si>
  <si>
    <t>Niveau de conformité PCI-DSS identifié (SAQ applicable connu)</t>
  </si>
  <si>
    <t>Aucune donnée de carte (PAN complet) stockée sur les systèmes internes</t>
  </si>
  <si>
    <t>VCC</t>
  </si>
  <si>
    <t>Processus de réception des VCC (Virtual Credit Card) documenté et sécurisé</t>
  </si>
  <si>
    <t>Accès aux VCC limité au personnel autorisé (compta / réception senior)</t>
  </si>
  <si>
    <t>Suppression ou archivage sécurisé des VCC après traitement</t>
  </si>
  <si>
    <t>Guichet bancaire</t>
  </si>
  <si>
    <t>Guichet/ATM sur segment réseau totalement isolé si présent</t>
  </si>
  <si>
    <t>Accès physique au guichet contrôlé et supervisé</t>
  </si>
  <si>
    <t>Contrats</t>
  </si>
  <si>
    <t>Convention VAD / e-commerce avec la banque partenaire à jour</t>
  </si>
  <si>
    <t>Contrôle</t>
  </si>
  <si>
    <t>Rapprochement régulier des transactions TPE avec la comptabilité</t>
  </si>
  <si>
    <t>Comptes</t>
  </si>
  <si>
    <t>Gestion des rôles utilisateurs par fonction (réception/compta/direction)</t>
  </si>
  <si>
    <t>Aucun compte partagé ou générique utilisé au quotidien</t>
  </si>
  <si>
    <t>Désactivation immédiate des comptes des employés partis</t>
  </si>
  <si>
    <t>Mots de passe</t>
  </si>
  <si>
    <t>Politique de mots de passe robuste appliquée sur le PMS</t>
  </si>
  <si>
    <t>Mises à jour</t>
  </si>
  <si>
    <t>PMS et applications tierces maintenus à jour</t>
  </si>
  <si>
    <t>Sauvegardes</t>
  </si>
  <si>
    <t>Sauvegarde quotidienne automatisée du PMS et de la base de données</t>
  </si>
  <si>
    <t>Test de restauration effectué au moins une fois par an</t>
  </si>
  <si>
    <t>Journalisation</t>
  </si>
  <si>
    <t>Logs d'accès et d'action conservés et consultables</t>
  </si>
  <si>
    <t>Intégrations</t>
  </si>
  <si>
    <t>Connexions GDS/OTA/channel manager sécurisées (API/clé chiffrée)</t>
  </si>
  <si>
    <t>Licences</t>
  </si>
  <si>
    <t>Licences logicielles à jour et conformes</t>
  </si>
  <si>
    <t>Stockage</t>
  </si>
  <si>
    <t>Localisation des données clients (passeport, carte, séjour) identifiée</t>
  </si>
  <si>
    <t>Chiffrement</t>
  </si>
  <si>
    <t>Données sensibles chiffrées au repos</t>
  </si>
  <si>
    <t>Communications avec le PMS/API chiffrées en transit (HTTPS/TLS)</t>
  </si>
  <si>
    <t>Rétention</t>
  </si>
  <si>
    <t>Politique de durée de conservation des données définie</t>
  </si>
  <si>
    <t>Conformité</t>
  </si>
  <si>
    <t>Conformité à la loi locale sur la protection des données (APDP ou équivalent)</t>
  </si>
  <si>
    <t>Journal des accès aux dossiers clients sensibles</t>
  </si>
  <si>
    <t>Partage</t>
  </si>
  <si>
    <t>Contrats avec prestataires tiers incluant clauses de confidentialité</t>
  </si>
  <si>
    <t>Suppression</t>
  </si>
  <si>
    <t>Procédure de suppression des données à la demande du client</t>
  </si>
  <si>
    <t>Accès physique</t>
  </si>
  <si>
    <t>Salle serveur/réseau fermée à clé avec accès restreint</t>
  </si>
  <si>
    <t>Registre des accès à la salle technique</t>
  </si>
  <si>
    <t>Postes</t>
  </si>
  <si>
    <t>Verrouillage automatique des sessions après inactivité</t>
  </si>
  <si>
    <t>Sensibilisation</t>
  </si>
  <si>
    <t>Formation du personnel au phishing et à l'ingénierie sociale</t>
  </si>
  <si>
    <t>Politique</t>
  </si>
  <si>
    <t>Charte informatique signée par les employés</t>
  </si>
  <si>
    <t>Prestataires</t>
  </si>
  <si>
    <t>Accès des prestataires externes tracé et limité dans le temps</t>
  </si>
  <si>
    <t>Inventaire à jour des équipements IT et de leurs responsables</t>
  </si>
  <si>
    <t>Support</t>
  </si>
  <si>
    <t>Procédure claire de signalement d'incident de sécurité</t>
  </si>
  <si>
    <t>Plan de continuité</t>
  </si>
  <si>
    <t>Procédure dégradée papier en cas de panne du PMS</t>
  </si>
  <si>
    <t>Plan de continuite</t>
  </si>
  <si>
    <t>Alimentation électrique de secours pour équipements critiques (onduleurs)</t>
  </si>
  <si>
    <t>Copie de sauvegarde stockée hors site ou dans le cloud</t>
  </si>
  <si>
    <t>Chiffrement des sauvegardes</t>
  </si>
  <si>
    <t>Reprise</t>
  </si>
  <si>
    <t>Temps de reprise (RTO) estimé et jugé acceptable</t>
  </si>
  <si>
    <t>Test</t>
  </si>
  <si>
    <t>Exercice de simulation d'incident réalisé au moins une fois</t>
  </si>
  <si>
    <t>Version 1.0 - Juillet 2026 - Licence CC BY-SA 4.0 - Citadel IT Solutions</t>
  </si>
  <si>
    <t>Version 1.0 - Juillet 2026 - Citadel IT Solutions - Licence CC BY-SA 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</si>
</sst>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8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6"/>
      <color rgb="FF1F3864"/>
      <name val="Arial"/>
      <charset val="1"/>
    </font>
    <font>
      <i/>
      <sz val="8"/>
      <color rgb="FF808080"/>
      <name val="Arial"/>
      <charset val="1"/>
    </font>
    <font>
      <b/>
      <sz val="10"/>
      <color rgb="FFFFFFFF"/>
      <name val="Arial"/>
      <charset val="1"/>
    </font>
    <font>
      <i/>
      <sz val="9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7" fillId="0" borderId="0" xfId="0" applyFont="1" applyBorder="1"/>
    <xf numFmtId="0" fontId="5" fillId="0" borderId="0" xfId="0" applyFont="1" applyBorder="1"/>
    <xf numFmtId="0" fontId="4" fillId="0" borderId="0" xfId="0" applyFont="1" applyBorder="1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3" fillId="0" borderId="0" xfId="0" applyFont="1"/>
    <xf numFmtId="0" fontId="2" fillId="2" borderId="0" xfId="0" applyFont="1" applyFill="1"/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164" fontId="0" fillId="0" borderId="1" xfId="0" applyNumberFormat="1" applyBorder="1" applyAlignment="1">
      <alignment horizontal="center" vertical="center" wrapText="1"/>
    </xf>
    <xf numFmtId="165" fontId="0" fillId="0" borderId="1" xfId="0" applyNumberFormat="1" applyBorder="1" applyAlignment="1">
      <alignment horizontal="center" vertical="center" wrapText="1"/>
    </xf>
    <xf numFmtId="0" fontId="3" fillId="4" borderId="1" xfId="0" applyFont="1" applyFill="1" applyBorder="1"/>
    <xf numFmtId="164" fontId="3" fillId="4" borderId="1" xfId="0" applyNumberFormat="1" applyFont="1" applyFill="1" applyBorder="1" applyAlignment="1">
      <alignment horizontal="center" vertical="center" wrapText="1"/>
    </xf>
    <xf numFmtId="165" fontId="3" fillId="4" borderId="1" xfId="0" applyNumberFormat="1" applyFont="1" applyFill="1" applyBorder="1" applyAlignment="1">
      <alignment horizontal="center" vertical="center" wrapText="1"/>
    </xf>
    <xf numFmtId="0" fontId="2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</cellXfs>
  <cellStyles count="1">
    <cellStyle name="Normal" xfId="0" builtinId="0"/>
  </cellStyles>
  <dxfs count="4">
    <dxf>
      <fill>
        <patternFill>
          <bgColor rgb="FFD9D9D9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294840</xdr:colOff>
      <xdr:row>0</xdr:row>
      <xdr:rowOff>380520</xdr:rowOff>
    </xdr:to>
    <xdr:pic>
      <xdr:nvPicPr>
        <xdr:cNvPr id="2" name="Image 1" descr="Picture"/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29484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294840</xdr:colOff>
      <xdr:row>0</xdr:row>
      <xdr:rowOff>380520</xdr:rowOff>
    </xdr:to>
    <xdr:pic>
      <xdr:nvPicPr>
        <xdr:cNvPr id="2" name="Image 1" descr="Picture"/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294840" cy="380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2"/>
  <sheetViews>
    <sheetView tabSelected="1" zoomScaleNormal="100" workbookViewId="0">
      <selection activeCell="A32" sqref="A32"/>
    </sheetView>
  </sheetViews>
  <sheetFormatPr baseColWidth="10" defaultColWidth="8.7109375" defaultRowHeight="15" x14ac:dyDescent="0.25"/>
  <cols>
    <col min="1" max="1" width="100" customWidth="1"/>
  </cols>
  <sheetData>
    <row r="1" spans="1:1" ht="33.75" customHeight="1" x14ac:dyDescent="0.25"/>
    <row r="2" spans="1:1" ht="18" x14ac:dyDescent="0.25">
      <c r="A2" s="4" t="s">
        <v>0</v>
      </c>
    </row>
    <row r="3" spans="1:1" x14ac:dyDescent="0.25">
      <c r="A3" s="5"/>
    </row>
    <row r="4" spans="1:1" x14ac:dyDescent="0.25">
      <c r="A4" s="6" t="s">
        <v>1</v>
      </c>
    </row>
    <row r="5" spans="1:1" ht="25.5" x14ac:dyDescent="0.25">
      <c r="A5" s="5" t="s">
        <v>2</v>
      </c>
    </row>
    <row r="6" spans="1:1" x14ac:dyDescent="0.25">
      <c r="A6" s="5"/>
    </row>
    <row r="7" spans="1:1" x14ac:dyDescent="0.25">
      <c r="A7" s="6" t="s">
        <v>3</v>
      </c>
    </row>
    <row r="8" spans="1:1" ht="25.5" x14ac:dyDescent="0.25">
      <c r="A8" s="5" t="s">
        <v>4</v>
      </c>
    </row>
    <row r="9" spans="1:1" x14ac:dyDescent="0.25">
      <c r="A9" s="5" t="s">
        <v>5</v>
      </c>
    </row>
    <row r="10" spans="1:1" x14ac:dyDescent="0.25">
      <c r="A10" s="5" t="s">
        <v>6</v>
      </c>
    </row>
    <row r="11" spans="1:1" x14ac:dyDescent="0.25">
      <c r="A11" s="5"/>
    </row>
    <row r="12" spans="1:1" x14ac:dyDescent="0.25">
      <c r="A12" s="6" t="s">
        <v>7</v>
      </c>
    </row>
    <row r="13" spans="1:1" ht="25.5" x14ac:dyDescent="0.25">
      <c r="A13" s="5" t="s">
        <v>8</v>
      </c>
    </row>
    <row r="14" spans="1:1" x14ac:dyDescent="0.25">
      <c r="A14" s="5" t="s">
        <v>9</v>
      </c>
    </row>
    <row r="15" spans="1:1" x14ac:dyDescent="0.25">
      <c r="A15" s="5"/>
    </row>
    <row r="16" spans="1:1" x14ac:dyDescent="0.25">
      <c r="A16" s="6" t="s">
        <v>10</v>
      </c>
    </row>
    <row r="17" spans="1:1" x14ac:dyDescent="0.25">
      <c r="A17" s="5" t="s">
        <v>11</v>
      </c>
    </row>
    <row r="18" spans="1:1" x14ac:dyDescent="0.25">
      <c r="A18" s="5" t="s">
        <v>12</v>
      </c>
    </row>
    <row r="19" spans="1:1" x14ac:dyDescent="0.25">
      <c r="A19" s="5" t="s">
        <v>13</v>
      </c>
    </row>
    <row r="20" spans="1:1" x14ac:dyDescent="0.25">
      <c r="A20" s="5"/>
    </row>
    <row r="21" spans="1:1" x14ac:dyDescent="0.25">
      <c r="A21" s="6" t="s">
        <v>14</v>
      </c>
    </row>
    <row r="22" spans="1:1" x14ac:dyDescent="0.25">
      <c r="A22" s="5" t="s">
        <v>15</v>
      </c>
    </row>
    <row r="23" spans="1:1" x14ac:dyDescent="0.25">
      <c r="A23" s="5" t="s">
        <v>16</v>
      </c>
    </row>
    <row r="24" spans="1:1" x14ac:dyDescent="0.25">
      <c r="A24" s="5" t="s">
        <v>17</v>
      </c>
    </row>
    <row r="25" spans="1:1" x14ac:dyDescent="0.25">
      <c r="A25" s="5" t="s">
        <v>18</v>
      </c>
    </row>
    <row r="26" spans="1:1" x14ac:dyDescent="0.25">
      <c r="A26" s="5" t="s">
        <v>19</v>
      </c>
    </row>
    <row r="27" spans="1:1" x14ac:dyDescent="0.25">
      <c r="A27" s="5" t="s">
        <v>20</v>
      </c>
    </row>
    <row r="28" spans="1:1" x14ac:dyDescent="0.25">
      <c r="A28" s="5"/>
    </row>
    <row r="29" spans="1:1" x14ac:dyDescent="0.25">
      <c r="A29" s="6" t="s">
        <v>21</v>
      </c>
    </row>
    <row r="30" spans="1:1" ht="25.5" x14ac:dyDescent="0.25">
      <c r="A30" s="5" t="s">
        <v>22</v>
      </c>
    </row>
    <row r="31" spans="1:1" x14ac:dyDescent="0.25">
      <c r="A31" s="5"/>
    </row>
    <row r="32" spans="1:1" x14ac:dyDescent="0.25">
      <c r="A32" s="5" t="s">
        <v>178</v>
      </c>
    </row>
  </sheetData>
  <pageMargins left="0.74803149606299213" right="0.74803149606299213" top="0.98425196850393704" bottom="0.98425196850393704" header="0.51181102362204722" footer="0.51181102362204722"/>
  <pageSetup paperSize="9" orientation="portrait" horizontalDpi="300" verticalDpi="300" r:id="rId1"/>
  <headerFooter>
    <oddHeader>&amp;L&amp;"Calibri,Bold"&amp;9 Citadel IT Solutions&amp;R&amp;9 Page &amp;P / &amp;N</oddHeader>
    <oddFooter>&amp;C&amp;"Calibri,Italique"&amp;8 Citadel IT Solutions - Conseil IT, Cloud &amp;&amp; Cybersécurité - Lomé, Togo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Views>
    <sheetView zoomScaleNormal="100" workbookViewId="0">
      <pane ySplit="8" topLeftCell="A9" activePane="bottomLeft" state="frozen"/>
      <selection pane="bottomLeft" activeCell="I5" sqref="I5"/>
    </sheetView>
  </sheetViews>
  <sheetFormatPr baseColWidth="10" defaultColWidth="8.7109375" defaultRowHeight="15" x14ac:dyDescent="0.25"/>
  <cols>
    <col min="1" max="1" width="39.42578125" bestFit="1" customWidth="1"/>
    <col min="2" max="2" width="16" customWidth="1"/>
    <col min="3" max="3" width="14" customWidth="1"/>
    <col min="4" max="4" width="20" customWidth="1"/>
  </cols>
  <sheetData>
    <row r="1" spans="1:5" ht="33.75" customHeight="1" x14ac:dyDescent="0.25"/>
    <row r="2" spans="1:5" ht="20.25" x14ac:dyDescent="0.3">
      <c r="B2" s="3" t="s">
        <v>23</v>
      </c>
      <c r="C2" s="3"/>
      <c r="D2" s="3"/>
      <c r="E2" s="3"/>
    </row>
    <row r="3" spans="1:5" x14ac:dyDescent="0.25">
      <c r="A3" s="7" t="s">
        <v>24</v>
      </c>
      <c r="B3" s="8"/>
    </row>
    <row r="4" spans="1:5" x14ac:dyDescent="0.25">
      <c r="A4" s="7" t="s">
        <v>25</v>
      </c>
      <c r="B4" s="8"/>
    </row>
    <row r="5" spans="1:5" x14ac:dyDescent="0.25">
      <c r="A5" s="7" t="s">
        <v>26</v>
      </c>
      <c r="B5" s="8"/>
    </row>
    <row r="6" spans="1:5" x14ac:dyDescent="0.25">
      <c r="A6" s="2" t="s">
        <v>179</v>
      </c>
      <c r="B6" s="2"/>
      <c r="C6" s="2"/>
      <c r="D6" s="2"/>
      <c r="E6" s="2"/>
    </row>
    <row r="8" spans="1:5" x14ac:dyDescent="0.25">
      <c r="A8" s="9" t="s">
        <v>27</v>
      </c>
      <c r="B8" s="9" t="s">
        <v>28</v>
      </c>
      <c r="C8" s="9" t="s">
        <v>29</v>
      </c>
      <c r="D8" s="9" t="s">
        <v>30</v>
      </c>
    </row>
    <row r="9" spans="1:5" x14ac:dyDescent="0.25">
      <c r="A9" s="10" t="s">
        <v>31</v>
      </c>
      <c r="B9" s="11">
        <f>SUMIF('Grille Audit'!$B$2:$B$72,A9,'Grille Audit'!$G$2:$G$72)</f>
        <v>0</v>
      </c>
      <c r="C9" s="11">
        <f>SUMIF('Grille Audit'!$B$2:$B$72,A9,'Grille Audit'!$H$2:$H$72)</f>
        <v>32</v>
      </c>
      <c r="D9" s="12">
        <f t="shared" ref="D9:D17" si="0">IF(C9=0,"N/A",B9/C9)</f>
        <v>0</v>
      </c>
    </row>
    <row r="10" spans="1:5" x14ac:dyDescent="0.25">
      <c r="A10" s="10" t="s">
        <v>32</v>
      </c>
      <c r="B10" s="11">
        <f>SUMIF('Grille Audit'!$B$2:$B$72,A10,'Grille Audit'!$G$2:$G$72)</f>
        <v>0</v>
      </c>
      <c r="C10" s="11">
        <f>SUMIF('Grille Audit'!$B$2:$B$72,A10,'Grille Audit'!$H$2:$H$72)</f>
        <v>12</v>
      </c>
      <c r="D10" s="12">
        <f t="shared" si="0"/>
        <v>0</v>
      </c>
    </row>
    <row r="11" spans="1:5" x14ac:dyDescent="0.25">
      <c r="A11" s="10" t="s">
        <v>33</v>
      </c>
      <c r="B11" s="11">
        <f>SUMIF('Grille Audit'!$B$2:$B$72,A11,'Grille Audit'!$G$2:$G$72)</f>
        <v>0</v>
      </c>
      <c r="C11" s="11">
        <f>SUMIF('Grille Audit'!$B$2:$B$72,A11,'Grille Audit'!$H$2:$H$72)</f>
        <v>12</v>
      </c>
      <c r="D11" s="12">
        <f t="shared" si="0"/>
        <v>0</v>
      </c>
    </row>
    <row r="12" spans="1:5" x14ac:dyDescent="0.25">
      <c r="A12" s="10" t="s">
        <v>34</v>
      </c>
      <c r="B12" s="11">
        <f>SUMIF('Grille Audit'!$B$2:$B$72,A12,'Grille Audit'!$G$2:$G$72)</f>
        <v>0</v>
      </c>
      <c r="C12" s="11">
        <f>SUMIF('Grille Audit'!$B$2:$B$72,A12,'Grille Audit'!$H$2:$H$72)</f>
        <v>22</v>
      </c>
      <c r="D12" s="12">
        <f t="shared" si="0"/>
        <v>0</v>
      </c>
    </row>
    <row r="13" spans="1:5" x14ac:dyDescent="0.25">
      <c r="A13" s="10" t="s">
        <v>35</v>
      </c>
      <c r="B13" s="11">
        <f>SUMIF('Grille Audit'!$B$2:$B$72,A13,'Grille Audit'!$G$2:$G$72)</f>
        <v>0</v>
      </c>
      <c r="C13" s="11">
        <f>SUMIF('Grille Audit'!$B$2:$B$72,A13,'Grille Audit'!$H$2:$H$72)</f>
        <v>20</v>
      </c>
      <c r="D13" s="12">
        <f t="shared" si="0"/>
        <v>0</v>
      </c>
    </row>
    <row r="14" spans="1:5" x14ac:dyDescent="0.25">
      <c r="A14" s="10" t="s">
        <v>36</v>
      </c>
      <c r="B14" s="11">
        <f>SUMIF('Grille Audit'!$B$2:$B$72,A14,'Grille Audit'!$G$2:$G$72)</f>
        <v>0</v>
      </c>
      <c r="C14" s="11">
        <f>SUMIF('Grille Audit'!$B$2:$B$72,A14,'Grille Audit'!$H$2:$H$72)</f>
        <v>16</v>
      </c>
      <c r="D14" s="12">
        <f t="shared" si="0"/>
        <v>0</v>
      </c>
    </row>
    <row r="15" spans="1:5" x14ac:dyDescent="0.25">
      <c r="A15" s="10" t="s">
        <v>37</v>
      </c>
      <c r="B15" s="11">
        <f>SUMIF('Grille Audit'!$B$2:$B$72,A15,'Grille Audit'!$G$2:$G$72)</f>
        <v>0</v>
      </c>
      <c r="C15" s="11">
        <f>SUMIF('Grille Audit'!$B$2:$B$72,A15,'Grille Audit'!$H$2:$H$72)</f>
        <v>16</v>
      </c>
      <c r="D15" s="12">
        <f t="shared" si="0"/>
        <v>0</v>
      </c>
    </row>
    <row r="16" spans="1:5" x14ac:dyDescent="0.25">
      <c r="A16" s="10" t="s">
        <v>38</v>
      </c>
      <c r="B16" s="11">
        <f>SUMIF('Grille Audit'!$B$2:$B$72,A16,'Grille Audit'!$G$2:$G$72)</f>
        <v>0</v>
      </c>
      <c r="C16" s="11">
        <f>SUMIF('Grille Audit'!$B$2:$B$72,A16,'Grille Audit'!$H$2:$H$72)</f>
        <v>12</v>
      </c>
      <c r="D16" s="12">
        <f t="shared" si="0"/>
        <v>0</v>
      </c>
    </row>
    <row r="17" spans="1:5" x14ac:dyDescent="0.25">
      <c r="A17" s="13" t="s">
        <v>39</v>
      </c>
      <c r="B17" s="14">
        <f>SUM(B9:B16)</f>
        <v>0</v>
      </c>
      <c r="C17" s="14">
        <f>SUM(C9:C16)</f>
        <v>142</v>
      </c>
      <c r="D17" s="15">
        <f t="shared" si="0"/>
        <v>0</v>
      </c>
    </row>
    <row r="20" spans="1:5" x14ac:dyDescent="0.25">
      <c r="A20" s="7" t="s">
        <v>40</v>
      </c>
    </row>
    <row r="21" spans="1:5" x14ac:dyDescent="0.25">
      <c r="A21" s="1" t="s">
        <v>41</v>
      </c>
      <c r="B21" s="1"/>
      <c r="C21" s="1"/>
      <c r="D21" s="1"/>
      <c r="E21" s="1"/>
    </row>
    <row r="22" spans="1:5" x14ac:dyDescent="0.25">
      <c r="A22" s="1" t="s">
        <v>42</v>
      </c>
      <c r="B22" s="1"/>
      <c r="C22" s="1"/>
      <c r="D22" s="1"/>
      <c r="E22" s="1"/>
    </row>
    <row r="23" spans="1:5" x14ac:dyDescent="0.25">
      <c r="A23" s="1" t="s">
        <v>43</v>
      </c>
      <c r="B23" s="1"/>
      <c r="C23" s="1"/>
      <c r="D23" s="1"/>
      <c r="E23" s="1"/>
    </row>
    <row r="24" spans="1:5" x14ac:dyDescent="0.25">
      <c r="A24" s="1" t="s">
        <v>44</v>
      </c>
      <c r="B24" s="1"/>
      <c r="C24" s="1"/>
      <c r="D24" s="1"/>
      <c r="E24" s="1"/>
    </row>
  </sheetData>
  <mergeCells count="6">
    <mergeCell ref="A24:E24"/>
    <mergeCell ref="B2:E2"/>
    <mergeCell ref="A6:E6"/>
    <mergeCell ref="A21:E21"/>
    <mergeCell ref="A22:E22"/>
    <mergeCell ref="A23:E23"/>
  </mergeCells>
  <conditionalFormatting sqref="D9:D17">
    <cfRule type="colorScale" priority="2">
      <colorScale>
        <cfvo type="num" val="0"/>
        <cfvo type="num" val="0.5"/>
        <cfvo type="num" val="1"/>
        <color rgb="FFFFC7CE"/>
        <color rgb="FFFFEB9C"/>
        <color rgb="FFC6EFCE"/>
      </colorScale>
    </cfRule>
  </conditionalFormatting>
  <pageMargins left="0.74803149606299213" right="0.74803149606299213" top="0.98425196850393704" bottom="0.98425196850393704" header="0.51181102362204722" footer="0.51181102362204722"/>
  <pageSetup paperSize="9" orientation="landscape" horizontalDpi="300" verticalDpi="300" r:id="rId1"/>
  <headerFooter>
    <oddHeader>&amp;L&amp;"Calibri,Bold"&amp;9 Citadel IT Solutions&amp;R&amp;9 Page &amp;P / &amp;N</oddHeader>
    <oddFooter>&amp;C&amp;"Calibri,Italique"&amp;8 Citadel IT Solutions - Conseil IT, Cloud &amp;&amp; Cybersécurité - Lomé, Togo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zoomScaleNormal="100" workbookViewId="0"/>
  </sheetViews>
  <sheetFormatPr baseColWidth="10" defaultColWidth="8.7109375" defaultRowHeight="15" x14ac:dyDescent="0.25"/>
  <sheetData>
    <row r="1" spans="1:5" x14ac:dyDescent="0.25">
      <c r="A1" s="7" t="s">
        <v>45</v>
      </c>
      <c r="B1" s="7" t="s">
        <v>46</v>
      </c>
      <c r="C1" s="16"/>
      <c r="D1" s="7" t="s">
        <v>47</v>
      </c>
      <c r="E1" s="7" t="s">
        <v>48</v>
      </c>
    </row>
    <row r="2" spans="1:5" x14ac:dyDescent="0.25">
      <c r="A2" s="16" t="s">
        <v>49</v>
      </c>
      <c r="B2" s="16">
        <v>4</v>
      </c>
      <c r="C2" s="16"/>
      <c r="D2" s="16" t="s">
        <v>50</v>
      </c>
      <c r="E2" s="16">
        <v>1</v>
      </c>
    </row>
    <row r="3" spans="1:5" x14ac:dyDescent="0.25">
      <c r="A3" s="16" t="s">
        <v>51</v>
      </c>
      <c r="B3" s="16">
        <v>3</v>
      </c>
      <c r="C3" s="16"/>
      <c r="D3" s="16" t="s">
        <v>52</v>
      </c>
      <c r="E3" s="16">
        <v>0.5</v>
      </c>
    </row>
    <row r="4" spans="1:5" x14ac:dyDescent="0.25">
      <c r="A4" s="16" t="s">
        <v>53</v>
      </c>
      <c r="B4" s="16">
        <v>2</v>
      </c>
      <c r="C4" s="16"/>
      <c r="D4" s="16" t="s">
        <v>54</v>
      </c>
      <c r="E4" s="16">
        <v>0</v>
      </c>
    </row>
    <row r="5" spans="1:5" x14ac:dyDescent="0.25">
      <c r="A5" s="16" t="s">
        <v>55</v>
      </c>
      <c r="B5" s="16">
        <v>1</v>
      </c>
      <c r="C5" s="16"/>
      <c r="D5" s="16" t="s">
        <v>56</v>
      </c>
      <c r="E5" s="16"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2"/>
  <sheetViews>
    <sheetView zoomScaleNormal="100" workbookViewId="0">
      <pane ySplit="1" topLeftCell="A65" activePane="bottomLeft" state="frozen"/>
      <selection pane="bottomLeft"/>
    </sheetView>
  </sheetViews>
  <sheetFormatPr baseColWidth="10" defaultColWidth="8.7109375" defaultRowHeight="15" x14ac:dyDescent="0.25"/>
  <cols>
    <col min="1" max="1" width="5" customWidth="1"/>
    <col min="2" max="2" width="39.42578125" bestFit="1" customWidth="1"/>
    <col min="3" max="3" width="18" customWidth="1"/>
    <col min="4" max="4" width="46" customWidth="1"/>
    <col min="5" max="5" width="14" customWidth="1"/>
    <col min="6" max="6" width="15" customWidth="1"/>
    <col min="7" max="7" width="12" customWidth="1"/>
    <col min="8" max="8" width="10" customWidth="1"/>
    <col min="9" max="9" width="30" customWidth="1"/>
    <col min="10" max="10" width="34" customWidth="1"/>
    <col min="11" max="11" width="16" customWidth="1"/>
    <col min="12" max="12" width="13" customWidth="1"/>
  </cols>
  <sheetData>
    <row r="1" spans="1:12" ht="31.5" customHeight="1" x14ac:dyDescent="0.25">
      <c r="A1" s="9" t="s">
        <v>57</v>
      </c>
      <c r="B1" s="9" t="s">
        <v>27</v>
      </c>
      <c r="C1" s="9" t="s">
        <v>58</v>
      </c>
      <c r="D1" s="9" t="s">
        <v>59</v>
      </c>
      <c r="E1" s="9" t="s">
        <v>47</v>
      </c>
      <c r="F1" s="9" t="s">
        <v>60</v>
      </c>
      <c r="G1" s="9" t="s">
        <v>28</v>
      </c>
      <c r="H1" s="9" t="s">
        <v>29</v>
      </c>
      <c r="I1" s="9" t="s">
        <v>61</v>
      </c>
      <c r="J1" s="9" t="s">
        <v>62</v>
      </c>
      <c r="K1" s="9" t="s">
        <v>63</v>
      </c>
      <c r="L1" s="9" t="s">
        <v>64</v>
      </c>
    </row>
    <row r="2" spans="1:12" ht="25.5" x14ac:dyDescent="0.25">
      <c r="A2" s="17">
        <v>1</v>
      </c>
      <c r="B2" s="10" t="s">
        <v>31</v>
      </c>
      <c r="C2" s="10" t="s">
        <v>65</v>
      </c>
      <c r="D2" s="18" t="s">
        <v>66</v>
      </c>
      <c r="E2" s="17" t="s">
        <v>54</v>
      </c>
      <c r="F2" s="17" t="s">
        <v>53</v>
      </c>
      <c r="G2" s="17">
        <f>IF(E2="N/A",0,INDEX(Reference!$B$2:$B$5,MATCH(F2,Reference!$A$2:$A$5,0))*INDEX(Reference!$E$2:$E$5,MATCH(E2,Reference!$D$2:$D$5,0)))</f>
        <v>0</v>
      </c>
      <c r="H2" s="17">
        <f>IF(E2="N/A",0,INDEX(Reference!$B$2:$B$5,MATCH(F2,Reference!$A$2:$A$5,0)))</f>
        <v>2</v>
      </c>
      <c r="I2" s="18"/>
      <c r="J2" s="18"/>
      <c r="K2" s="10"/>
      <c r="L2" s="17"/>
    </row>
    <row r="3" spans="1:12" ht="25.5" x14ac:dyDescent="0.25">
      <c r="A3" s="17">
        <v>2</v>
      </c>
      <c r="B3" s="10" t="s">
        <v>31</v>
      </c>
      <c r="C3" s="10" t="s">
        <v>65</v>
      </c>
      <c r="D3" s="18" t="s">
        <v>67</v>
      </c>
      <c r="E3" s="17" t="s">
        <v>54</v>
      </c>
      <c r="F3" s="17" t="s">
        <v>53</v>
      </c>
      <c r="G3" s="17">
        <f>IF(E3="N/A",0,INDEX(Reference!$B$2:$B$5,MATCH(F3,Reference!$A$2:$A$5,0))*INDEX(Reference!$E$2:$E$5,MATCH(E3,Reference!$D$2:$D$5,0)))</f>
        <v>0</v>
      </c>
      <c r="H3" s="17">
        <f>IF(E3="N/A",0,INDEX(Reference!$B$2:$B$5,MATCH(F3,Reference!$A$2:$A$5,0)))</f>
        <v>2</v>
      </c>
      <c r="I3" s="18"/>
      <c r="J3" s="18"/>
      <c r="K3" s="10"/>
      <c r="L3" s="17"/>
    </row>
    <row r="4" spans="1:12" x14ac:dyDescent="0.25">
      <c r="A4" s="17">
        <v>3</v>
      </c>
      <c r="B4" s="10" t="s">
        <v>31</v>
      </c>
      <c r="C4" s="10" t="s">
        <v>65</v>
      </c>
      <c r="D4" s="18" t="s">
        <v>68</v>
      </c>
      <c r="E4" s="17" t="s">
        <v>54</v>
      </c>
      <c r="F4" s="17" t="s">
        <v>53</v>
      </c>
      <c r="G4" s="17">
        <f>IF(E4="N/A",0,INDEX(Reference!$B$2:$B$5,MATCH(F4,Reference!$A$2:$A$5,0))*INDEX(Reference!$E$2:$E$5,MATCH(E4,Reference!$D$2:$D$5,0)))</f>
        <v>0</v>
      </c>
      <c r="H4" s="17">
        <f>IF(E4="N/A",0,INDEX(Reference!$B$2:$B$5,MATCH(F4,Reference!$A$2:$A$5,0)))</f>
        <v>2</v>
      </c>
      <c r="I4" s="18"/>
      <c r="J4" s="18"/>
      <c r="K4" s="10"/>
      <c r="L4" s="17"/>
    </row>
    <row r="5" spans="1:12" x14ac:dyDescent="0.25">
      <c r="A5" s="17">
        <v>4</v>
      </c>
      <c r="B5" s="10" t="s">
        <v>31</v>
      </c>
      <c r="C5" s="10" t="s">
        <v>65</v>
      </c>
      <c r="D5" s="18" t="s">
        <v>69</v>
      </c>
      <c r="E5" s="17" t="s">
        <v>54</v>
      </c>
      <c r="F5" s="17" t="s">
        <v>53</v>
      </c>
      <c r="G5" s="17">
        <f>IF(E5="N/A",0,INDEX(Reference!$B$2:$B$5,MATCH(F5,Reference!$A$2:$A$5,0))*INDEX(Reference!$E$2:$E$5,MATCH(E5,Reference!$D$2:$D$5,0)))</f>
        <v>0</v>
      </c>
      <c r="H5" s="17">
        <f>IF(E5="N/A",0,INDEX(Reference!$B$2:$B$5,MATCH(F5,Reference!$A$2:$A$5,0)))</f>
        <v>2</v>
      </c>
      <c r="I5" s="18"/>
      <c r="J5" s="18"/>
      <c r="K5" s="10"/>
      <c r="L5" s="17"/>
    </row>
    <row r="6" spans="1:12" ht="25.5" x14ac:dyDescent="0.25">
      <c r="A6" s="17">
        <v>5</v>
      </c>
      <c r="B6" s="10" t="s">
        <v>31</v>
      </c>
      <c r="C6" s="10" t="s">
        <v>70</v>
      </c>
      <c r="D6" s="18" t="s">
        <v>71</v>
      </c>
      <c r="E6" s="17" t="s">
        <v>54</v>
      </c>
      <c r="F6" s="17" t="s">
        <v>53</v>
      </c>
      <c r="G6" s="17">
        <f>IF(E6="N/A",0,INDEX(Reference!$B$2:$B$5,MATCH(F6,Reference!$A$2:$A$5,0))*INDEX(Reference!$E$2:$E$5,MATCH(E6,Reference!$D$2:$D$5,0)))</f>
        <v>0</v>
      </c>
      <c r="H6" s="17">
        <f>IF(E6="N/A",0,INDEX(Reference!$B$2:$B$5,MATCH(F6,Reference!$A$2:$A$5,0)))</f>
        <v>2</v>
      </c>
      <c r="I6" s="18"/>
      <c r="J6" s="18"/>
      <c r="K6" s="10"/>
      <c r="L6" s="17"/>
    </row>
    <row r="7" spans="1:12" ht="25.5" x14ac:dyDescent="0.25">
      <c r="A7" s="17">
        <v>6</v>
      </c>
      <c r="B7" s="10" t="s">
        <v>31</v>
      </c>
      <c r="C7" s="10" t="s">
        <v>70</v>
      </c>
      <c r="D7" s="18" t="s">
        <v>72</v>
      </c>
      <c r="E7" s="17" t="s">
        <v>54</v>
      </c>
      <c r="F7" s="17" t="s">
        <v>53</v>
      </c>
      <c r="G7" s="17">
        <f>IF(E7="N/A",0,INDEX(Reference!$B$2:$B$5,MATCH(F7,Reference!$A$2:$A$5,0))*INDEX(Reference!$E$2:$E$5,MATCH(E7,Reference!$D$2:$D$5,0)))</f>
        <v>0</v>
      </c>
      <c r="H7" s="17">
        <f>IF(E7="N/A",0,INDEX(Reference!$B$2:$B$5,MATCH(F7,Reference!$A$2:$A$5,0)))</f>
        <v>2</v>
      </c>
      <c r="I7" s="18"/>
      <c r="J7" s="18"/>
      <c r="K7" s="10"/>
      <c r="L7" s="17"/>
    </row>
    <row r="8" spans="1:12" ht="25.5" x14ac:dyDescent="0.25">
      <c r="A8" s="17">
        <v>7</v>
      </c>
      <c r="B8" s="10" t="s">
        <v>31</v>
      </c>
      <c r="C8" s="10" t="s">
        <v>70</v>
      </c>
      <c r="D8" s="18" t="s">
        <v>73</v>
      </c>
      <c r="E8" s="17" t="s">
        <v>54</v>
      </c>
      <c r="F8" s="17" t="s">
        <v>53</v>
      </c>
      <c r="G8" s="17">
        <f>IF(E8="N/A",0,INDEX(Reference!$B$2:$B$5,MATCH(F8,Reference!$A$2:$A$5,0))*INDEX(Reference!$E$2:$E$5,MATCH(E8,Reference!$D$2:$D$5,0)))</f>
        <v>0</v>
      </c>
      <c r="H8" s="17">
        <f>IF(E8="N/A",0,INDEX(Reference!$B$2:$B$5,MATCH(F8,Reference!$A$2:$A$5,0)))</f>
        <v>2</v>
      </c>
      <c r="I8" s="18"/>
      <c r="J8" s="18"/>
      <c r="K8" s="10"/>
      <c r="L8" s="17"/>
    </row>
    <row r="9" spans="1:12" ht="25.5" x14ac:dyDescent="0.25">
      <c r="A9" s="17">
        <v>8</v>
      </c>
      <c r="B9" s="10" t="s">
        <v>31</v>
      </c>
      <c r="C9" s="10" t="s">
        <v>74</v>
      </c>
      <c r="D9" s="18" t="s">
        <v>75</v>
      </c>
      <c r="E9" s="17" t="s">
        <v>54</v>
      </c>
      <c r="F9" s="17" t="s">
        <v>53</v>
      </c>
      <c r="G9" s="17">
        <f>IF(E9="N/A",0,INDEX(Reference!$B$2:$B$5,MATCH(F9,Reference!$A$2:$A$5,0))*INDEX(Reference!$E$2:$E$5,MATCH(E9,Reference!$D$2:$D$5,0)))</f>
        <v>0</v>
      </c>
      <c r="H9" s="17">
        <f>IF(E9="N/A",0,INDEX(Reference!$B$2:$B$5,MATCH(F9,Reference!$A$2:$A$5,0)))</f>
        <v>2</v>
      </c>
      <c r="I9" s="18"/>
      <c r="J9" s="18"/>
      <c r="K9" s="10"/>
      <c r="L9" s="17"/>
    </row>
    <row r="10" spans="1:12" ht="25.5" x14ac:dyDescent="0.25">
      <c r="A10" s="17">
        <v>9</v>
      </c>
      <c r="B10" s="10" t="s">
        <v>31</v>
      </c>
      <c r="C10" s="10" t="s">
        <v>74</v>
      </c>
      <c r="D10" s="18" t="s">
        <v>76</v>
      </c>
      <c r="E10" s="17" t="s">
        <v>54</v>
      </c>
      <c r="F10" s="17" t="s">
        <v>53</v>
      </c>
      <c r="G10" s="17">
        <f>IF(E10="N/A",0,INDEX(Reference!$B$2:$B$5,MATCH(F10,Reference!$A$2:$A$5,0))*INDEX(Reference!$E$2:$E$5,MATCH(E10,Reference!$D$2:$D$5,0)))</f>
        <v>0</v>
      </c>
      <c r="H10" s="17">
        <f>IF(E10="N/A",0,INDEX(Reference!$B$2:$B$5,MATCH(F10,Reference!$A$2:$A$5,0)))</f>
        <v>2</v>
      </c>
      <c r="I10" s="18"/>
      <c r="J10" s="18"/>
      <c r="K10" s="10"/>
      <c r="L10" s="17"/>
    </row>
    <row r="11" spans="1:12" x14ac:dyDescent="0.25">
      <c r="A11" s="17">
        <v>10</v>
      </c>
      <c r="B11" s="10" t="s">
        <v>31</v>
      </c>
      <c r="C11" s="10" t="s">
        <v>77</v>
      </c>
      <c r="D11" s="18" t="s">
        <v>78</v>
      </c>
      <c r="E11" s="17" t="s">
        <v>54</v>
      </c>
      <c r="F11" s="17" t="s">
        <v>53</v>
      </c>
      <c r="G11" s="17">
        <f>IF(E11="N/A",0,INDEX(Reference!$B$2:$B$5,MATCH(F11,Reference!$A$2:$A$5,0))*INDEX(Reference!$E$2:$E$5,MATCH(E11,Reference!$D$2:$D$5,0)))</f>
        <v>0</v>
      </c>
      <c r="H11" s="17">
        <f>IF(E11="N/A",0,INDEX(Reference!$B$2:$B$5,MATCH(F11,Reference!$A$2:$A$5,0)))</f>
        <v>2</v>
      </c>
      <c r="I11" s="18"/>
      <c r="J11" s="18"/>
      <c r="K11" s="10"/>
      <c r="L11" s="17"/>
    </row>
    <row r="12" spans="1:12" ht="25.5" x14ac:dyDescent="0.25">
      <c r="A12" s="17">
        <v>11</v>
      </c>
      <c r="B12" s="10" t="s">
        <v>31</v>
      </c>
      <c r="C12" s="10" t="s">
        <v>77</v>
      </c>
      <c r="D12" s="18" t="s">
        <v>79</v>
      </c>
      <c r="E12" s="17" t="s">
        <v>54</v>
      </c>
      <c r="F12" s="17" t="s">
        <v>53</v>
      </c>
      <c r="G12" s="17">
        <f>IF(E12="N/A",0,INDEX(Reference!$B$2:$B$5,MATCH(F12,Reference!$A$2:$A$5,0))*INDEX(Reference!$E$2:$E$5,MATCH(E12,Reference!$D$2:$D$5,0)))</f>
        <v>0</v>
      </c>
      <c r="H12" s="17">
        <f>IF(E12="N/A",0,INDEX(Reference!$B$2:$B$5,MATCH(F12,Reference!$A$2:$A$5,0)))</f>
        <v>2</v>
      </c>
      <c r="I12" s="18"/>
      <c r="J12" s="18"/>
      <c r="K12" s="10"/>
      <c r="L12" s="17"/>
    </row>
    <row r="13" spans="1:12" x14ac:dyDescent="0.25">
      <c r="A13" s="17">
        <v>12</v>
      </c>
      <c r="B13" s="10" t="s">
        <v>31</v>
      </c>
      <c r="C13" s="10" t="s">
        <v>80</v>
      </c>
      <c r="D13" s="18" t="s">
        <v>81</v>
      </c>
      <c r="E13" s="17" t="s">
        <v>54</v>
      </c>
      <c r="F13" s="17" t="s">
        <v>53</v>
      </c>
      <c r="G13" s="17">
        <f>IF(E13="N/A",0,INDEX(Reference!$B$2:$B$5,MATCH(F13,Reference!$A$2:$A$5,0))*INDEX(Reference!$E$2:$E$5,MATCH(E13,Reference!$D$2:$D$5,0)))</f>
        <v>0</v>
      </c>
      <c r="H13" s="17">
        <f>IF(E13="N/A",0,INDEX(Reference!$B$2:$B$5,MATCH(F13,Reference!$A$2:$A$5,0)))</f>
        <v>2</v>
      </c>
      <c r="I13" s="18"/>
      <c r="J13" s="18"/>
      <c r="K13" s="10"/>
      <c r="L13" s="17"/>
    </row>
    <row r="14" spans="1:12" ht="38.25" x14ac:dyDescent="0.25">
      <c r="A14" s="17">
        <v>13</v>
      </c>
      <c r="B14" s="10" t="s">
        <v>31</v>
      </c>
      <c r="C14" s="10" t="s">
        <v>82</v>
      </c>
      <c r="D14" s="18" t="s">
        <v>83</v>
      </c>
      <c r="E14" s="17" t="s">
        <v>54</v>
      </c>
      <c r="F14" s="17" t="s">
        <v>53</v>
      </c>
      <c r="G14" s="17">
        <f>IF(E14="N/A",0,INDEX(Reference!$B$2:$B$5,MATCH(F14,Reference!$A$2:$A$5,0))*INDEX(Reference!$E$2:$E$5,MATCH(E14,Reference!$D$2:$D$5,0)))</f>
        <v>0</v>
      </c>
      <c r="H14" s="17">
        <f>IF(E14="N/A",0,INDEX(Reference!$B$2:$B$5,MATCH(F14,Reference!$A$2:$A$5,0)))</f>
        <v>2</v>
      </c>
      <c r="I14" s="18"/>
      <c r="J14" s="18"/>
      <c r="K14" s="10"/>
      <c r="L14" s="17"/>
    </row>
    <row r="15" spans="1:12" ht="38.25" x14ac:dyDescent="0.25">
      <c r="A15" s="17">
        <v>14</v>
      </c>
      <c r="B15" s="10" t="s">
        <v>31</v>
      </c>
      <c r="C15" s="10" t="s">
        <v>82</v>
      </c>
      <c r="D15" s="18" t="s">
        <v>84</v>
      </c>
      <c r="E15" s="17" t="s">
        <v>54</v>
      </c>
      <c r="F15" s="17" t="s">
        <v>53</v>
      </c>
      <c r="G15" s="17">
        <f>IF(E15="N/A",0,INDEX(Reference!$B$2:$B$5,MATCH(F15,Reference!$A$2:$A$5,0))*INDEX(Reference!$E$2:$E$5,MATCH(E15,Reference!$D$2:$D$5,0)))</f>
        <v>0</v>
      </c>
      <c r="H15" s="17">
        <f>IF(E15="N/A",0,INDEX(Reference!$B$2:$B$5,MATCH(F15,Reference!$A$2:$A$5,0)))</f>
        <v>2</v>
      </c>
      <c r="I15" s="18"/>
      <c r="J15" s="18"/>
      <c r="K15" s="10"/>
      <c r="L15" s="17"/>
    </row>
    <row r="16" spans="1:12" ht="38.25" x14ac:dyDescent="0.25">
      <c r="A16" s="17">
        <v>15</v>
      </c>
      <c r="B16" s="10" t="s">
        <v>31</v>
      </c>
      <c r="C16" s="10" t="s">
        <v>82</v>
      </c>
      <c r="D16" s="18" t="s">
        <v>85</v>
      </c>
      <c r="E16" s="17" t="s">
        <v>54</v>
      </c>
      <c r="F16" s="17" t="s">
        <v>53</v>
      </c>
      <c r="G16" s="17">
        <f>IF(E16="N/A",0,INDEX(Reference!$B$2:$B$5,MATCH(F16,Reference!$A$2:$A$5,0))*INDEX(Reference!$E$2:$E$5,MATCH(E16,Reference!$D$2:$D$5,0)))</f>
        <v>0</v>
      </c>
      <c r="H16" s="17">
        <f>IF(E16="N/A",0,INDEX(Reference!$B$2:$B$5,MATCH(F16,Reference!$A$2:$A$5,0)))</f>
        <v>2</v>
      </c>
      <c r="I16" s="18"/>
      <c r="J16" s="18"/>
      <c r="K16" s="10"/>
      <c r="L16" s="17"/>
    </row>
    <row r="17" spans="1:12" ht="25.5" x14ac:dyDescent="0.25">
      <c r="A17" s="17">
        <v>16</v>
      </c>
      <c r="B17" s="10" t="s">
        <v>31</v>
      </c>
      <c r="C17" s="10" t="s">
        <v>82</v>
      </c>
      <c r="D17" s="18" t="s">
        <v>86</v>
      </c>
      <c r="E17" s="17" t="s">
        <v>54</v>
      </c>
      <c r="F17" s="17" t="s">
        <v>53</v>
      </c>
      <c r="G17" s="17">
        <f>IF(E17="N/A",0,INDEX(Reference!$B$2:$B$5,MATCH(F17,Reference!$A$2:$A$5,0))*INDEX(Reference!$E$2:$E$5,MATCH(E17,Reference!$D$2:$D$5,0)))</f>
        <v>0</v>
      </c>
      <c r="H17" s="17">
        <f>IF(E17="N/A",0,INDEX(Reference!$B$2:$B$5,MATCH(F17,Reference!$A$2:$A$5,0)))</f>
        <v>2</v>
      </c>
      <c r="I17" s="18"/>
      <c r="J17" s="18"/>
      <c r="K17" s="10"/>
      <c r="L17" s="17"/>
    </row>
    <row r="18" spans="1:12" ht="25.5" x14ac:dyDescent="0.25">
      <c r="A18" s="17">
        <v>17</v>
      </c>
      <c r="B18" s="10" t="s">
        <v>32</v>
      </c>
      <c r="C18" s="10" t="s">
        <v>87</v>
      </c>
      <c r="D18" s="18" t="s">
        <v>88</v>
      </c>
      <c r="E18" s="17" t="s">
        <v>54</v>
      </c>
      <c r="F18" s="17" t="s">
        <v>53</v>
      </c>
      <c r="G18" s="17">
        <f>IF(E18="N/A",0,INDEX(Reference!$B$2:$B$5,MATCH(F18,Reference!$A$2:$A$5,0))*INDEX(Reference!$E$2:$E$5,MATCH(E18,Reference!$D$2:$D$5,0)))</f>
        <v>0</v>
      </c>
      <c r="H18" s="17">
        <f>IF(E18="N/A",0,INDEX(Reference!$B$2:$B$5,MATCH(F18,Reference!$A$2:$A$5,0)))</f>
        <v>2</v>
      </c>
      <c r="I18" s="18"/>
      <c r="J18" s="18"/>
      <c r="K18" s="10"/>
      <c r="L18" s="17"/>
    </row>
    <row r="19" spans="1:12" ht="25.5" x14ac:dyDescent="0.25">
      <c r="A19" s="17">
        <v>18</v>
      </c>
      <c r="B19" s="10" t="s">
        <v>32</v>
      </c>
      <c r="C19" s="10" t="s">
        <v>89</v>
      </c>
      <c r="D19" s="18" t="s">
        <v>90</v>
      </c>
      <c r="E19" s="17" t="s">
        <v>54</v>
      </c>
      <c r="F19" s="17" t="s">
        <v>53</v>
      </c>
      <c r="G19" s="17">
        <f>IF(E19="N/A",0,INDEX(Reference!$B$2:$B$5,MATCH(F19,Reference!$A$2:$A$5,0))*INDEX(Reference!$E$2:$E$5,MATCH(E19,Reference!$D$2:$D$5,0)))</f>
        <v>0</v>
      </c>
      <c r="H19" s="17">
        <f>IF(E19="N/A",0,INDEX(Reference!$B$2:$B$5,MATCH(F19,Reference!$A$2:$A$5,0)))</f>
        <v>2</v>
      </c>
      <c r="I19" s="18"/>
      <c r="J19" s="18"/>
      <c r="K19" s="10"/>
      <c r="L19" s="17"/>
    </row>
    <row r="20" spans="1:12" ht="25.5" x14ac:dyDescent="0.25">
      <c r="A20" s="17">
        <v>19</v>
      </c>
      <c r="B20" s="10" t="s">
        <v>32</v>
      </c>
      <c r="C20" s="10" t="s">
        <v>91</v>
      </c>
      <c r="D20" s="18" t="s">
        <v>92</v>
      </c>
      <c r="E20" s="17" t="s">
        <v>54</v>
      </c>
      <c r="F20" s="17" t="s">
        <v>53</v>
      </c>
      <c r="G20" s="17">
        <f>IF(E20="N/A",0,INDEX(Reference!$B$2:$B$5,MATCH(F20,Reference!$A$2:$A$5,0))*INDEX(Reference!$E$2:$E$5,MATCH(E20,Reference!$D$2:$D$5,0)))</f>
        <v>0</v>
      </c>
      <c r="H20" s="17">
        <f>IF(E20="N/A",0,INDEX(Reference!$B$2:$B$5,MATCH(F20,Reference!$A$2:$A$5,0)))</f>
        <v>2</v>
      </c>
      <c r="I20" s="18"/>
      <c r="J20" s="18"/>
      <c r="K20" s="10"/>
      <c r="L20" s="17"/>
    </row>
    <row r="21" spans="1:12" ht="25.5" x14ac:dyDescent="0.25">
      <c r="A21" s="17">
        <v>20</v>
      </c>
      <c r="B21" s="10" t="s">
        <v>32</v>
      </c>
      <c r="C21" s="10" t="s">
        <v>93</v>
      </c>
      <c r="D21" s="18" t="s">
        <v>94</v>
      </c>
      <c r="E21" s="17" t="s">
        <v>54</v>
      </c>
      <c r="F21" s="17" t="s">
        <v>53</v>
      </c>
      <c r="G21" s="17">
        <f>IF(E21="N/A",0,INDEX(Reference!$B$2:$B$5,MATCH(F21,Reference!$A$2:$A$5,0))*INDEX(Reference!$E$2:$E$5,MATCH(E21,Reference!$D$2:$D$5,0)))</f>
        <v>0</v>
      </c>
      <c r="H21" s="17">
        <f>IF(E21="N/A",0,INDEX(Reference!$B$2:$B$5,MATCH(F21,Reference!$A$2:$A$5,0)))</f>
        <v>2</v>
      </c>
      <c r="I21" s="18"/>
      <c r="J21" s="18"/>
      <c r="K21" s="10"/>
      <c r="L21" s="17"/>
    </row>
    <row r="22" spans="1:12" ht="25.5" x14ac:dyDescent="0.25">
      <c r="A22" s="17">
        <v>21</v>
      </c>
      <c r="B22" s="10" t="s">
        <v>32</v>
      </c>
      <c r="C22" s="10" t="s">
        <v>95</v>
      </c>
      <c r="D22" s="18" t="s">
        <v>96</v>
      </c>
      <c r="E22" s="17" t="s">
        <v>54</v>
      </c>
      <c r="F22" s="17" t="s">
        <v>53</v>
      </c>
      <c r="G22" s="17">
        <f>IF(E22="N/A",0,INDEX(Reference!$B$2:$B$5,MATCH(F22,Reference!$A$2:$A$5,0))*INDEX(Reference!$E$2:$E$5,MATCH(E22,Reference!$D$2:$D$5,0)))</f>
        <v>0</v>
      </c>
      <c r="H22" s="17">
        <f>IF(E22="N/A",0,INDEX(Reference!$B$2:$B$5,MATCH(F22,Reference!$A$2:$A$5,0)))</f>
        <v>2</v>
      </c>
      <c r="I22" s="18"/>
      <c r="J22" s="18"/>
      <c r="K22" s="10"/>
      <c r="L22" s="17"/>
    </row>
    <row r="23" spans="1:12" ht="25.5" x14ac:dyDescent="0.25">
      <c r="A23" s="17">
        <v>22</v>
      </c>
      <c r="B23" s="10" t="s">
        <v>32</v>
      </c>
      <c r="C23" s="10" t="s">
        <v>95</v>
      </c>
      <c r="D23" s="18" t="s">
        <v>97</v>
      </c>
      <c r="E23" s="17" t="s">
        <v>54</v>
      </c>
      <c r="F23" s="17" t="s">
        <v>53</v>
      </c>
      <c r="G23" s="17">
        <f>IF(E23="N/A",0,INDEX(Reference!$B$2:$B$5,MATCH(F23,Reference!$A$2:$A$5,0))*INDEX(Reference!$E$2:$E$5,MATCH(E23,Reference!$D$2:$D$5,0)))</f>
        <v>0</v>
      </c>
      <c r="H23" s="17">
        <f>IF(E23="N/A",0,INDEX(Reference!$B$2:$B$5,MATCH(F23,Reference!$A$2:$A$5,0)))</f>
        <v>2</v>
      </c>
      <c r="I23" s="18"/>
      <c r="J23" s="18"/>
      <c r="K23" s="10"/>
      <c r="L23" s="17"/>
    </row>
    <row r="24" spans="1:12" ht="25.5" x14ac:dyDescent="0.25">
      <c r="A24" s="17">
        <v>23</v>
      </c>
      <c r="B24" s="10" t="s">
        <v>33</v>
      </c>
      <c r="C24" s="10" t="s">
        <v>98</v>
      </c>
      <c r="D24" s="18" t="s">
        <v>99</v>
      </c>
      <c r="E24" s="17" t="s">
        <v>54</v>
      </c>
      <c r="F24" s="17" t="s">
        <v>53</v>
      </c>
      <c r="G24" s="17">
        <f>IF(E24="N/A",0,INDEX(Reference!$B$2:$B$5,MATCH(F24,Reference!$A$2:$A$5,0))*INDEX(Reference!$E$2:$E$5,MATCH(E24,Reference!$D$2:$D$5,0)))</f>
        <v>0</v>
      </c>
      <c r="H24" s="17">
        <f>IF(E24="N/A",0,INDEX(Reference!$B$2:$B$5,MATCH(F24,Reference!$A$2:$A$5,0)))</f>
        <v>2</v>
      </c>
      <c r="I24" s="18"/>
      <c r="J24" s="18"/>
      <c r="K24" s="10"/>
      <c r="L24" s="17"/>
    </row>
    <row r="25" spans="1:12" ht="25.5" x14ac:dyDescent="0.25">
      <c r="A25" s="17">
        <v>24</v>
      </c>
      <c r="B25" s="10" t="s">
        <v>33</v>
      </c>
      <c r="C25" s="10" t="s">
        <v>80</v>
      </c>
      <c r="D25" s="18" t="s">
        <v>100</v>
      </c>
      <c r="E25" s="17" t="s">
        <v>54</v>
      </c>
      <c r="F25" s="17" t="s">
        <v>53</v>
      </c>
      <c r="G25" s="17">
        <f>IF(E25="N/A",0,INDEX(Reference!$B$2:$B$5,MATCH(F25,Reference!$A$2:$A$5,0))*INDEX(Reference!$E$2:$E$5,MATCH(E25,Reference!$D$2:$D$5,0)))</f>
        <v>0</v>
      </c>
      <c r="H25" s="17">
        <f>IF(E25="N/A",0,INDEX(Reference!$B$2:$B$5,MATCH(F25,Reference!$A$2:$A$5,0)))</f>
        <v>2</v>
      </c>
      <c r="I25" s="18"/>
      <c r="J25" s="18"/>
      <c r="K25" s="10"/>
      <c r="L25" s="17"/>
    </row>
    <row r="26" spans="1:12" ht="25.5" x14ac:dyDescent="0.25">
      <c r="A26" s="17">
        <v>25</v>
      </c>
      <c r="B26" s="10" t="s">
        <v>33</v>
      </c>
      <c r="C26" s="10" t="s">
        <v>101</v>
      </c>
      <c r="D26" s="18" t="s">
        <v>102</v>
      </c>
      <c r="E26" s="17" t="s">
        <v>54</v>
      </c>
      <c r="F26" s="17" t="s">
        <v>53</v>
      </c>
      <c r="G26" s="17">
        <f>IF(E26="N/A",0,INDEX(Reference!$B$2:$B$5,MATCH(F26,Reference!$A$2:$A$5,0))*INDEX(Reference!$E$2:$E$5,MATCH(E26,Reference!$D$2:$D$5,0)))</f>
        <v>0</v>
      </c>
      <c r="H26" s="17">
        <f>IF(E26="N/A",0,INDEX(Reference!$B$2:$B$5,MATCH(F26,Reference!$A$2:$A$5,0)))</f>
        <v>2</v>
      </c>
      <c r="I26" s="18"/>
      <c r="J26" s="18"/>
      <c r="K26" s="10"/>
      <c r="L26" s="17"/>
    </row>
    <row r="27" spans="1:12" ht="25.5" x14ac:dyDescent="0.25">
      <c r="A27" s="17">
        <v>26</v>
      </c>
      <c r="B27" s="10" t="s">
        <v>33</v>
      </c>
      <c r="C27" s="10" t="s">
        <v>101</v>
      </c>
      <c r="D27" s="18" t="s">
        <v>103</v>
      </c>
      <c r="E27" s="17" t="s">
        <v>54</v>
      </c>
      <c r="F27" s="17" t="s">
        <v>53</v>
      </c>
      <c r="G27" s="17">
        <f>IF(E27="N/A",0,INDEX(Reference!$B$2:$B$5,MATCH(F27,Reference!$A$2:$A$5,0))*INDEX(Reference!$E$2:$E$5,MATCH(E27,Reference!$D$2:$D$5,0)))</f>
        <v>0</v>
      </c>
      <c r="H27" s="17">
        <f>IF(E27="N/A",0,INDEX(Reference!$B$2:$B$5,MATCH(F27,Reference!$A$2:$A$5,0)))</f>
        <v>2</v>
      </c>
      <c r="I27" s="18"/>
      <c r="J27" s="18"/>
      <c r="K27" s="10"/>
      <c r="L27" s="17"/>
    </row>
    <row r="28" spans="1:12" ht="25.5" x14ac:dyDescent="0.25">
      <c r="A28" s="17">
        <v>27</v>
      </c>
      <c r="B28" s="10" t="s">
        <v>33</v>
      </c>
      <c r="C28" s="10" t="s">
        <v>101</v>
      </c>
      <c r="D28" s="18" t="s">
        <v>104</v>
      </c>
      <c r="E28" s="17" t="s">
        <v>54</v>
      </c>
      <c r="F28" s="17" t="s">
        <v>53</v>
      </c>
      <c r="G28" s="17">
        <f>IF(E28="N/A",0,INDEX(Reference!$B$2:$B$5,MATCH(F28,Reference!$A$2:$A$5,0))*INDEX(Reference!$E$2:$E$5,MATCH(E28,Reference!$D$2:$D$5,0)))</f>
        <v>0</v>
      </c>
      <c r="H28" s="17">
        <f>IF(E28="N/A",0,INDEX(Reference!$B$2:$B$5,MATCH(F28,Reference!$A$2:$A$5,0)))</f>
        <v>2</v>
      </c>
      <c r="I28" s="18"/>
      <c r="J28" s="18"/>
      <c r="K28" s="10"/>
      <c r="L28" s="17"/>
    </row>
    <row r="29" spans="1:12" ht="25.5" x14ac:dyDescent="0.25">
      <c r="A29" s="17">
        <v>28</v>
      </c>
      <c r="B29" s="10" t="s">
        <v>33</v>
      </c>
      <c r="C29" s="10" t="s">
        <v>101</v>
      </c>
      <c r="D29" s="18" t="s">
        <v>105</v>
      </c>
      <c r="E29" s="17" t="s">
        <v>54</v>
      </c>
      <c r="F29" s="17" t="s">
        <v>53</v>
      </c>
      <c r="G29" s="17">
        <f>IF(E29="N/A",0,INDEX(Reference!$B$2:$B$5,MATCH(F29,Reference!$A$2:$A$5,0))*INDEX(Reference!$E$2:$E$5,MATCH(E29,Reference!$D$2:$D$5,0)))</f>
        <v>0</v>
      </c>
      <c r="H29" s="17">
        <f>IF(E29="N/A",0,INDEX(Reference!$B$2:$B$5,MATCH(F29,Reference!$A$2:$A$5,0)))</f>
        <v>2</v>
      </c>
      <c r="I29" s="18"/>
      <c r="J29" s="18"/>
      <c r="K29" s="10"/>
      <c r="L29" s="17"/>
    </row>
    <row r="30" spans="1:12" ht="25.5" x14ac:dyDescent="0.25">
      <c r="A30" s="17">
        <v>29</v>
      </c>
      <c r="B30" s="10" t="s">
        <v>34</v>
      </c>
      <c r="C30" s="10" t="s">
        <v>106</v>
      </c>
      <c r="D30" s="18" t="s">
        <v>107</v>
      </c>
      <c r="E30" s="17" t="s">
        <v>54</v>
      </c>
      <c r="F30" s="17" t="s">
        <v>53</v>
      </c>
      <c r="G30" s="17">
        <f>IF(E30="N/A",0,INDEX(Reference!$B$2:$B$5,MATCH(F30,Reference!$A$2:$A$5,0))*INDEX(Reference!$E$2:$E$5,MATCH(E30,Reference!$D$2:$D$5,0)))</f>
        <v>0</v>
      </c>
      <c r="H30" s="17">
        <f>IF(E30="N/A",0,INDEX(Reference!$B$2:$B$5,MATCH(F30,Reference!$A$2:$A$5,0)))</f>
        <v>2</v>
      </c>
      <c r="I30" s="18"/>
      <c r="J30" s="18"/>
      <c r="K30" s="10"/>
      <c r="L30" s="17"/>
    </row>
    <row r="31" spans="1:12" ht="25.5" x14ac:dyDescent="0.25">
      <c r="A31" s="17">
        <v>30</v>
      </c>
      <c r="B31" s="10" t="s">
        <v>34</v>
      </c>
      <c r="C31" s="10" t="s">
        <v>106</v>
      </c>
      <c r="D31" s="18" t="s">
        <v>108</v>
      </c>
      <c r="E31" s="17" t="s">
        <v>54</v>
      </c>
      <c r="F31" s="17" t="s">
        <v>53</v>
      </c>
      <c r="G31" s="17">
        <f>IF(E31="N/A",0,INDEX(Reference!$B$2:$B$5,MATCH(F31,Reference!$A$2:$A$5,0))*INDEX(Reference!$E$2:$E$5,MATCH(E31,Reference!$D$2:$D$5,0)))</f>
        <v>0</v>
      </c>
      <c r="H31" s="17">
        <f>IF(E31="N/A",0,INDEX(Reference!$B$2:$B$5,MATCH(F31,Reference!$A$2:$A$5,0)))</f>
        <v>2</v>
      </c>
      <c r="I31" s="18"/>
      <c r="J31" s="18"/>
      <c r="K31" s="10"/>
      <c r="L31" s="17"/>
    </row>
    <row r="32" spans="1:12" ht="25.5" x14ac:dyDescent="0.25">
      <c r="A32" s="17">
        <v>31</v>
      </c>
      <c r="B32" s="10" t="s">
        <v>34</v>
      </c>
      <c r="C32" s="10" t="s">
        <v>109</v>
      </c>
      <c r="D32" s="18" t="s">
        <v>110</v>
      </c>
      <c r="E32" s="17" t="s">
        <v>54</v>
      </c>
      <c r="F32" s="17" t="s">
        <v>53</v>
      </c>
      <c r="G32" s="17">
        <f>IF(E32="N/A",0,INDEX(Reference!$B$2:$B$5,MATCH(F32,Reference!$A$2:$A$5,0))*INDEX(Reference!$E$2:$E$5,MATCH(E32,Reference!$D$2:$D$5,0)))</f>
        <v>0</v>
      </c>
      <c r="H32" s="17">
        <f>IF(E32="N/A",0,INDEX(Reference!$B$2:$B$5,MATCH(F32,Reference!$A$2:$A$5,0)))</f>
        <v>2</v>
      </c>
      <c r="I32" s="18"/>
      <c r="J32" s="18"/>
      <c r="K32" s="10"/>
      <c r="L32" s="17"/>
    </row>
    <row r="33" spans="1:12" ht="25.5" x14ac:dyDescent="0.25">
      <c r="A33" s="17">
        <v>32</v>
      </c>
      <c r="B33" s="10" t="s">
        <v>34</v>
      </c>
      <c r="C33" s="10" t="s">
        <v>109</v>
      </c>
      <c r="D33" s="18" t="s">
        <v>111</v>
      </c>
      <c r="E33" s="17" t="s">
        <v>54</v>
      </c>
      <c r="F33" s="17" t="s">
        <v>53</v>
      </c>
      <c r="G33" s="17">
        <f>IF(E33="N/A",0,INDEX(Reference!$B$2:$B$5,MATCH(F33,Reference!$A$2:$A$5,0))*INDEX(Reference!$E$2:$E$5,MATCH(E33,Reference!$D$2:$D$5,0)))</f>
        <v>0</v>
      </c>
      <c r="H33" s="17">
        <f>IF(E33="N/A",0,INDEX(Reference!$B$2:$B$5,MATCH(F33,Reference!$A$2:$A$5,0)))</f>
        <v>2</v>
      </c>
      <c r="I33" s="18"/>
      <c r="J33" s="18"/>
      <c r="K33" s="10"/>
      <c r="L33" s="17"/>
    </row>
    <row r="34" spans="1:12" ht="25.5" x14ac:dyDescent="0.25">
      <c r="A34" s="17">
        <v>33</v>
      </c>
      <c r="B34" s="10" t="s">
        <v>34</v>
      </c>
      <c r="C34" s="10" t="s">
        <v>112</v>
      </c>
      <c r="D34" s="18" t="s">
        <v>113</v>
      </c>
      <c r="E34" s="17" t="s">
        <v>54</v>
      </c>
      <c r="F34" s="17" t="s">
        <v>53</v>
      </c>
      <c r="G34" s="17">
        <f>IF(E34="N/A",0,INDEX(Reference!$B$2:$B$5,MATCH(F34,Reference!$A$2:$A$5,0))*INDEX(Reference!$E$2:$E$5,MATCH(E34,Reference!$D$2:$D$5,0)))</f>
        <v>0</v>
      </c>
      <c r="H34" s="17">
        <f>IF(E34="N/A",0,INDEX(Reference!$B$2:$B$5,MATCH(F34,Reference!$A$2:$A$5,0)))</f>
        <v>2</v>
      </c>
      <c r="I34" s="18"/>
      <c r="J34" s="18"/>
      <c r="K34" s="10"/>
      <c r="L34" s="17"/>
    </row>
    <row r="35" spans="1:12" ht="25.5" x14ac:dyDescent="0.25">
      <c r="A35" s="17">
        <v>34</v>
      </c>
      <c r="B35" s="10" t="s">
        <v>34</v>
      </c>
      <c r="C35" s="10" t="s">
        <v>112</v>
      </c>
      <c r="D35" s="18" t="s">
        <v>114</v>
      </c>
      <c r="E35" s="17" t="s">
        <v>54</v>
      </c>
      <c r="F35" s="17" t="s">
        <v>53</v>
      </c>
      <c r="G35" s="17">
        <f>IF(E35="N/A",0,INDEX(Reference!$B$2:$B$5,MATCH(F35,Reference!$A$2:$A$5,0))*INDEX(Reference!$E$2:$E$5,MATCH(E35,Reference!$D$2:$D$5,0)))</f>
        <v>0</v>
      </c>
      <c r="H35" s="17">
        <f>IF(E35="N/A",0,INDEX(Reference!$B$2:$B$5,MATCH(F35,Reference!$A$2:$A$5,0)))</f>
        <v>2</v>
      </c>
      <c r="I35" s="18"/>
      <c r="J35" s="18"/>
      <c r="K35" s="10"/>
      <c r="L35" s="17"/>
    </row>
    <row r="36" spans="1:12" ht="25.5" x14ac:dyDescent="0.25">
      <c r="A36" s="17">
        <v>35</v>
      </c>
      <c r="B36" s="10" t="s">
        <v>34</v>
      </c>
      <c r="C36" s="10" t="s">
        <v>112</v>
      </c>
      <c r="D36" s="18" t="s">
        <v>115</v>
      </c>
      <c r="E36" s="17" t="s">
        <v>54</v>
      </c>
      <c r="F36" s="17" t="s">
        <v>53</v>
      </c>
      <c r="G36" s="17">
        <f>IF(E36="N/A",0,INDEX(Reference!$B$2:$B$5,MATCH(F36,Reference!$A$2:$A$5,0))*INDEX(Reference!$E$2:$E$5,MATCH(E36,Reference!$D$2:$D$5,0)))</f>
        <v>0</v>
      </c>
      <c r="H36" s="17">
        <f>IF(E36="N/A",0,INDEX(Reference!$B$2:$B$5,MATCH(F36,Reference!$A$2:$A$5,0)))</f>
        <v>2</v>
      </c>
      <c r="I36" s="18"/>
      <c r="J36" s="18"/>
      <c r="K36" s="10"/>
      <c r="L36" s="17"/>
    </row>
    <row r="37" spans="1:12" ht="25.5" x14ac:dyDescent="0.25">
      <c r="A37" s="17">
        <v>36</v>
      </c>
      <c r="B37" s="10" t="s">
        <v>34</v>
      </c>
      <c r="C37" s="10" t="s">
        <v>116</v>
      </c>
      <c r="D37" s="18" t="s">
        <v>117</v>
      </c>
      <c r="E37" s="17" t="s">
        <v>54</v>
      </c>
      <c r="F37" s="17" t="s">
        <v>53</v>
      </c>
      <c r="G37" s="17">
        <f>IF(E37="N/A",0,INDEX(Reference!$B$2:$B$5,MATCH(F37,Reference!$A$2:$A$5,0))*INDEX(Reference!$E$2:$E$5,MATCH(E37,Reference!$D$2:$D$5,0)))</f>
        <v>0</v>
      </c>
      <c r="H37" s="17">
        <f>IF(E37="N/A",0,INDEX(Reference!$B$2:$B$5,MATCH(F37,Reference!$A$2:$A$5,0)))</f>
        <v>2</v>
      </c>
      <c r="I37" s="18"/>
      <c r="J37" s="18"/>
      <c r="K37" s="10"/>
      <c r="L37" s="17"/>
    </row>
    <row r="38" spans="1:12" x14ac:dyDescent="0.25">
      <c r="A38" s="17">
        <v>37</v>
      </c>
      <c r="B38" s="10" t="s">
        <v>34</v>
      </c>
      <c r="C38" s="10" t="s">
        <v>116</v>
      </c>
      <c r="D38" s="18" t="s">
        <v>118</v>
      </c>
      <c r="E38" s="17" t="s">
        <v>54</v>
      </c>
      <c r="F38" s="17" t="s">
        <v>53</v>
      </c>
      <c r="G38" s="17">
        <f>IF(E38="N/A",0,INDEX(Reference!$B$2:$B$5,MATCH(F38,Reference!$A$2:$A$5,0))*INDEX(Reference!$E$2:$E$5,MATCH(E38,Reference!$D$2:$D$5,0)))</f>
        <v>0</v>
      </c>
      <c r="H38" s="17">
        <f>IF(E38="N/A",0,INDEX(Reference!$B$2:$B$5,MATCH(F38,Reference!$A$2:$A$5,0)))</f>
        <v>2</v>
      </c>
      <c r="I38" s="18"/>
      <c r="J38" s="18"/>
      <c r="K38" s="10"/>
      <c r="L38" s="17"/>
    </row>
    <row r="39" spans="1:12" ht="25.5" x14ac:dyDescent="0.25">
      <c r="A39" s="17">
        <v>38</v>
      </c>
      <c r="B39" s="10" t="s">
        <v>34</v>
      </c>
      <c r="C39" s="10" t="s">
        <v>119</v>
      </c>
      <c r="D39" s="18" t="s">
        <v>120</v>
      </c>
      <c r="E39" s="17" t="s">
        <v>54</v>
      </c>
      <c r="F39" s="17" t="s">
        <v>53</v>
      </c>
      <c r="G39" s="17">
        <f>IF(E39="N/A",0,INDEX(Reference!$B$2:$B$5,MATCH(F39,Reference!$A$2:$A$5,0))*INDEX(Reference!$E$2:$E$5,MATCH(E39,Reference!$D$2:$D$5,0)))</f>
        <v>0</v>
      </c>
      <c r="H39" s="17">
        <f>IF(E39="N/A",0,INDEX(Reference!$B$2:$B$5,MATCH(F39,Reference!$A$2:$A$5,0)))</f>
        <v>2</v>
      </c>
      <c r="I39" s="18"/>
      <c r="J39" s="18"/>
      <c r="K39" s="10"/>
      <c r="L39" s="17"/>
    </row>
    <row r="40" spans="1:12" ht="25.5" x14ac:dyDescent="0.25">
      <c r="A40" s="17">
        <v>39</v>
      </c>
      <c r="B40" s="10" t="s">
        <v>34</v>
      </c>
      <c r="C40" s="10" t="s">
        <v>121</v>
      </c>
      <c r="D40" s="18" t="s">
        <v>122</v>
      </c>
      <c r="E40" s="17" t="s">
        <v>54</v>
      </c>
      <c r="F40" s="17" t="s">
        <v>53</v>
      </c>
      <c r="G40" s="17">
        <f>IF(E40="N/A",0,INDEX(Reference!$B$2:$B$5,MATCH(F40,Reference!$A$2:$A$5,0))*INDEX(Reference!$E$2:$E$5,MATCH(E40,Reference!$D$2:$D$5,0)))</f>
        <v>0</v>
      </c>
      <c r="H40" s="17">
        <f>IF(E40="N/A",0,INDEX(Reference!$B$2:$B$5,MATCH(F40,Reference!$A$2:$A$5,0)))</f>
        <v>2</v>
      </c>
      <c r="I40" s="18"/>
      <c r="J40" s="18"/>
      <c r="K40" s="10"/>
      <c r="L40" s="17"/>
    </row>
    <row r="41" spans="1:12" ht="25.5" x14ac:dyDescent="0.25">
      <c r="A41" s="17">
        <v>40</v>
      </c>
      <c r="B41" s="10" t="s">
        <v>35</v>
      </c>
      <c r="C41" s="10" t="s">
        <v>123</v>
      </c>
      <c r="D41" s="18" t="s">
        <v>124</v>
      </c>
      <c r="E41" s="17" t="s">
        <v>54</v>
      </c>
      <c r="F41" s="17" t="s">
        <v>53</v>
      </c>
      <c r="G41" s="17">
        <f>IF(E41="N/A",0,INDEX(Reference!$B$2:$B$5,MATCH(F41,Reference!$A$2:$A$5,0))*INDEX(Reference!$E$2:$E$5,MATCH(E41,Reference!$D$2:$D$5,0)))</f>
        <v>0</v>
      </c>
      <c r="H41" s="17">
        <f>IF(E41="N/A",0,INDEX(Reference!$B$2:$B$5,MATCH(F41,Reference!$A$2:$A$5,0)))</f>
        <v>2</v>
      </c>
      <c r="I41" s="18"/>
      <c r="J41" s="18"/>
      <c r="K41" s="10"/>
      <c r="L41" s="17"/>
    </row>
    <row r="42" spans="1:12" ht="25.5" x14ac:dyDescent="0.25">
      <c r="A42" s="17">
        <v>41</v>
      </c>
      <c r="B42" s="10" t="s">
        <v>35</v>
      </c>
      <c r="C42" s="10" t="s">
        <v>123</v>
      </c>
      <c r="D42" s="18" t="s">
        <v>125</v>
      </c>
      <c r="E42" s="17" t="s">
        <v>54</v>
      </c>
      <c r="F42" s="17" t="s">
        <v>53</v>
      </c>
      <c r="G42" s="17">
        <f>IF(E42="N/A",0,INDEX(Reference!$B$2:$B$5,MATCH(F42,Reference!$A$2:$A$5,0))*INDEX(Reference!$E$2:$E$5,MATCH(E42,Reference!$D$2:$D$5,0)))</f>
        <v>0</v>
      </c>
      <c r="H42" s="17">
        <f>IF(E42="N/A",0,INDEX(Reference!$B$2:$B$5,MATCH(F42,Reference!$A$2:$A$5,0)))</f>
        <v>2</v>
      </c>
      <c r="I42" s="18"/>
      <c r="J42" s="18"/>
      <c r="K42" s="10"/>
      <c r="L42" s="17"/>
    </row>
    <row r="43" spans="1:12" ht="25.5" x14ac:dyDescent="0.25">
      <c r="A43" s="17">
        <v>42</v>
      </c>
      <c r="B43" s="10" t="s">
        <v>35</v>
      </c>
      <c r="C43" s="10" t="s">
        <v>123</v>
      </c>
      <c r="D43" s="18" t="s">
        <v>126</v>
      </c>
      <c r="E43" s="17" t="s">
        <v>54</v>
      </c>
      <c r="F43" s="17" t="s">
        <v>53</v>
      </c>
      <c r="G43" s="17">
        <f>IF(E43="N/A",0,INDEX(Reference!$B$2:$B$5,MATCH(F43,Reference!$A$2:$A$5,0))*INDEX(Reference!$E$2:$E$5,MATCH(E43,Reference!$D$2:$D$5,0)))</f>
        <v>0</v>
      </c>
      <c r="H43" s="17">
        <f>IF(E43="N/A",0,INDEX(Reference!$B$2:$B$5,MATCH(F43,Reference!$A$2:$A$5,0)))</f>
        <v>2</v>
      </c>
      <c r="I43" s="18"/>
      <c r="J43" s="18"/>
      <c r="K43" s="10"/>
      <c r="L43" s="17"/>
    </row>
    <row r="44" spans="1:12" ht="25.5" x14ac:dyDescent="0.25">
      <c r="A44" s="17">
        <v>43</v>
      </c>
      <c r="B44" s="10" t="s">
        <v>35</v>
      </c>
      <c r="C44" s="10" t="s">
        <v>127</v>
      </c>
      <c r="D44" s="18" t="s">
        <v>128</v>
      </c>
      <c r="E44" s="17" t="s">
        <v>54</v>
      </c>
      <c r="F44" s="17" t="s">
        <v>53</v>
      </c>
      <c r="G44" s="17">
        <f>IF(E44="N/A",0,INDEX(Reference!$B$2:$B$5,MATCH(F44,Reference!$A$2:$A$5,0))*INDEX(Reference!$E$2:$E$5,MATCH(E44,Reference!$D$2:$D$5,0)))</f>
        <v>0</v>
      </c>
      <c r="H44" s="17">
        <f>IF(E44="N/A",0,INDEX(Reference!$B$2:$B$5,MATCH(F44,Reference!$A$2:$A$5,0)))</f>
        <v>2</v>
      </c>
      <c r="I44" s="18"/>
      <c r="J44" s="18"/>
      <c r="K44" s="10"/>
      <c r="L44" s="17"/>
    </row>
    <row r="45" spans="1:12" x14ac:dyDescent="0.25">
      <c r="A45" s="17">
        <v>44</v>
      </c>
      <c r="B45" s="10" t="s">
        <v>35</v>
      </c>
      <c r="C45" s="10" t="s">
        <v>129</v>
      </c>
      <c r="D45" s="18" t="s">
        <v>130</v>
      </c>
      <c r="E45" s="17" t="s">
        <v>54</v>
      </c>
      <c r="F45" s="17" t="s">
        <v>53</v>
      </c>
      <c r="G45" s="17">
        <f>IF(E45="N/A",0,INDEX(Reference!$B$2:$B$5,MATCH(F45,Reference!$A$2:$A$5,0))*INDEX(Reference!$E$2:$E$5,MATCH(E45,Reference!$D$2:$D$5,0)))</f>
        <v>0</v>
      </c>
      <c r="H45" s="17">
        <f>IF(E45="N/A",0,INDEX(Reference!$B$2:$B$5,MATCH(F45,Reference!$A$2:$A$5,0)))</f>
        <v>2</v>
      </c>
      <c r="I45" s="18"/>
      <c r="J45" s="18"/>
      <c r="K45" s="10"/>
      <c r="L45" s="17"/>
    </row>
    <row r="46" spans="1:12" ht="25.5" x14ac:dyDescent="0.25">
      <c r="A46" s="17">
        <v>45</v>
      </c>
      <c r="B46" s="10" t="s">
        <v>35</v>
      </c>
      <c r="C46" s="10" t="s">
        <v>131</v>
      </c>
      <c r="D46" s="18" t="s">
        <v>132</v>
      </c>
      <c r="E46" s="17" t="s">
        <v>54</v>
      </c>
      <c r="F46" s="17" t="s">
        <v>53</v>
      </c>
      <c r="G46" s="17">
        <f>IF(E46="N/A",0,INDEX(Reference!$B$2:$B$5,MATCH(F46,Reference!$A$2:$A$5,0))*INDEX(Reference!$E$2:$E$5,MATCH(E46,Reference!$D$2:$D$5,0)))</f>
        <v>0</v>
      </c>
      <c r="H46" s="17">
        <f>IF(E46="N/A",0,INDEX(Reference!$B$2:$B$5,MATCH(F46,Reference!$A$2:$A$5,0)))</f>
        <v>2</v>
      </c>
      <c r="I46" s="18"/>
      <c r="J46" s="18"/>
      <c r="K46" s="10"/>
      <c r="L46" s="17"/>
    </row>
    <row r="47" spans="1:12" ht="25.5" x14ac:dyDescent="0.25">
      <c r="A47" s="17">
        <v>46</v>
      </c>
      <c r="B47" s="10" t="s">
        <v>35</v>
      </c>
      <c r="C47" s="10" t="s">
        <v>131</v>
      </c>
      <c r="D47" s="18" t="s">
        <v>133</v>
      </c>
      <c r="E47" s="17" t="s">
        <v>54</v>
      </c>
      <c r="F47" s="17" t="s">
        <v>53</v>
      </c>
      <c r="G47" s="17">
        <f>IF(E47="N/A",0,INDEX(Reference!$B$2:$B$5,MATCH(F47,Reference!$A$2:$A$5,0))*INDEX(Reference!$E$2:$E$5,MATCH(E47,Reference!$D$2:$D$5,0)))</f>
        <v>0</v>
      </c>
      <c r="H47" s="17">
        <f>IF(E47="N/A",0,INDEX(Reference!$B$2:$B$5,MATCH(F47,Reference!$A$2:$A$5,0)))</f>
        <v>2</v>
      </c>
      <c r="I47" s="18"/>
      <c r="J47" s="18"/>
      <c r="K47" s="10"/>
      <c r="L47" s="17"/>
    </row>
    <row r="48" spans="1:12" x14ac:dyDescent="0.25">
      <c r="A48" s="17">
        <v>47</v>
      </c>
      <c r="B48" s="10" t="s">
        <v>35</v>
      </c>
      <c r="C48" s="10" t="s">
        <v>134</v>
      </c>
      <c r="D48" s="18" t="s">
        <v>135</v>
      </c>
      <c r="E48" s="17" t="s">
        <v>54</v>
      </c>
      <c r="F48" s="17" t="s">
        <v>53</v>
      </c>
      <c r="G48" s="17">
        <f>IF(E48="N/A",0,INDEX(Reference!$B$2:$B$5,MATCH(F48,Reference!$A$2:$A$5,0))*INDEX(Reference!$E$2:$E$5,MATCH(E48,Reference!$D$2:$D$5,0)))</f>
        <v>0</v>
      </c>
      <c r="H48" s="17">
        <f>IF(E48="N/A",0,INDEX(Reference!$B$2:$B$5,MATCH(F48,Reference!$A$2:$A$5,0)))</f>
        <v>2</v>
      </c>
      <c r="I48" s="18"/>
      <c r="J48" s="18"/>
      <c r="K48" s="10"/>
      <c r="L48" s="17"/>
    </row>
    <row r="49" spans="1:12" ht="25.5" x14ac:dyDescent="0.25">
      <c r="A49" s="17">
        <v>48</v>
      </c>
      <c r="B49" s="10" t="s">
        <v>35</v>
      </c>
      <c r="C49" s="10" t="s">
        <v>136</v>
      </c>
      <c r="D49" s="18" t="s">
        <v>137</v>
      </c>
      <c r="E49" s="17" t="s">
        <v>54</v>
      </c>
      <c r="F49" s="17" t="s">
        <v>53</v>
      </c>
      <c r="G49" s="17">
        <f>IF(E49="N/A",0,INDEX(Reference!$B$2:$B$5,MATCH(F49,Reference!$A$2:$A$5,0))*INDEX(Reference!$E$2:$E$5,MATCH(E49,Reference!$D$2:$D$5,0)))</f>
        <v>0</v>
      </c>
      <c r="H49" s="17">
        <f>IF(E49="N/A",0,INDEX(Reference!$B$2:$B$5,MATCH(F49,Reference!$A$2:$A$5,0)))</f>
        <v>2</v>
      </c>
      <c r="I49" s="18"/>
      <c r="J49" s="18"/>
      <c r="K49" s="10"/>
      <c r="L49" s="17"/>
    </row>
    <row r="50" spans="1:12" x14ac:dyDescent="0.25">
      <c r="A50" s="17">
        <v>49</v>
      </c>
      <c r="B50" s="10" t="s">
        <v>35</v>
      </c>
      <c r="C50" s="10" t="s">
        <v>138</v>
      </c>
      <c r="D50" s="18" t="s">
        <v>139</v>
      </c>
      <c r="E50" s="17" t="s">
        <v>54</v>
      </c>
      <c r="F50" s="17" t="s">
        <v>53</v>
      </c>
      <c r="G50" s="17">
        <f>IF(E50="N/A",0,INDEX(Reference!$B$2:$B$5,MATCH(F50,Reference!$A$2:$A$5,0))*INDEX(Reference!$E$2:$E$5,MATCH(E50,Reference!$D$2:$D$5,0)))</f>
        <v>0</v>
      </c>
      <c r="H50" s="17">
        <f>IF(E50="N/A",0,INDEX(Reference!$B$2:$B$5,MATCH(F50,Reference!$A$2:$A$5,0)))</f>
        <v>2</v>
      </c>
      <c r="I50" s="18"/>
      <c r="J50" s="18"/>
      <c r="K50" s="10"/>
      <c r="L50" s="17"/>
    </row>
    <row r="51" spans="1:12" ht="25.5" x14ac:dyDescent="0.25">
      <c r="A51" s="17">
        <v>50</v>
      </c>
      <c r="B51" s="10" t="s">
        <v>36</v>
      </c>
      <c r="C51" s="10" t="s">
        <v>140</v>
      </c>
      <c r="D51" s="18" t="s">
        <v>141</v>
      </c>
      <c r="E51" s="17" t="s">
        <v>54</v>
      </c>
      <c r="F51" s="17" t="s">
        <v>53</v>
      </c>
      <c r="G51" s="17">
        <f>IF(E51="N/A",0,INDEX(Reference!$B$2:$B$5,MATCH(F51,Reference!$A$2:$A$5,0))*INDEX(Reference!$E$2:$E$5,MATCH(E51,Reference!$D$2:$D$5,0)))</f>
        <v>0</v>
      </c>
      <c r="H51" s="17">
        <f>IF(E51="N/A",0,INDEX(Reference!$B$2:$B$5,MATCH(F51,Reference!$A$2:$A$5,0)))</f>
        <v>2</v>
      </c>
      <c r="I51" s="18"/>
      <c r="J51" s="18"/>
      <c r="K51" s="10"/>
      <c r="L51" s="17"/>
    </row>
    <row r="52" spans="1:12" x14ac:dyDescent="0.25">
      <c r="A52" s="17">
        <v>51</v>
      </c>
      <c r="B52" s="10" t="s">
        <v>36</v>
      </c>
      <c r="C52" s="10" t="s">
        <v>142</v>
      </c>
      <c r="D52" s="18" t="s">
        <v>143</v>
      </c>
      <c r="E52" s="17" t="s">
        <v>54</v>
      </c>
      <c r="F52" s="17" t="s">
        <v>53</v>
      </c>
      <c r="G52" s="17">
        <f>IF(E52="N/A",0,INDEX(Reference!$B$2:$B$5,MATCH(F52,Reference!$A$2:$A$5,0))*INDEX(Reference!$E$2:$E$5,MATCH(E52,Reference!$D$2:$D$5,0)))</f>
        <v>0</v>
      </c>
      <c r="H52" s="17">
        <f>IF(E52="N/A",0,INDEX(Reference!$B$2:$B$5,MATCH(F52,Reference!$A$2:$A$5,0)))</f>
        <v>2</v>
      </c>
      <c r="I52" s="18"/>
      <c r="J52" s="18"/>
      <c r="K52" s="10"/>
      <c r="L52" s="17"/>
    </row>
    <row r="53" spans="1:12" ht="25.5" x14ac:dyDescent="0.25">
      <c r="A53" s="17">
        <v>52</v>
      </c>
      <c r="B53" s="10" t="s">
        <v>36</v>
      </c>
      <c r="C53" s="10" t="s">
        <v>142</v>
      </c>
      <c r="D53" s="18" t="s">
        <v>144</v>
      </c>
      <c r="E53" s="17" t="s">
        <v>54</v>
      </c>
      <c r="F53" s="17" t="s">
        <v>53</v>
      </c>
      <c r="G53" s="17">
        <f>IF(E53="N/A",0,INDEX(Reference!$B$2:$B$5,MATCH(F53,Reference!$A$2:$A$5,0))*INDEX(Reference!$E$2:$E$5,MATCH(E53,Reference!$D$2:$D$5,0)))</f>
        <v>0</v>
      </c>
      <c r="H53" s="17">
        <f>IF(E53="N/A",0,INDEX(Reference!$B$2:$B$5,MATCH(F53,Reference!$A$2:$A$5,0)))</f>
        <v>2</v>
      </c>
      <c r="I53" s="18"/>
      <c r="J53" s="18"/>
      <c r="K53" s="10"/>
      <c r="L53" s="17"/>
    </row>
    <row r="54" spans="1:12" ht="25.5" x14ac:dyDescent="0.25">
      <c r="A54" s="17">
        <v>53</v>
      </c>
      <c r="B54" s="10" t="s">
        <v>36</v>
      </c>
      <c r="C54" s="10" t="s">
        <v>145</v>
      </c>
      <c r="D54" s="18" t="s">
        <v>146</v>
      </c>
      <c r="E54" s="17" t="s">
        <v>54</v>
      </c>
      <c r="F54" s="17" t="s">
        <v>53</v>
      </c>
      <c r="G54" s="17">
        <f>IF(E54="N/A",0,INDEX(Reference!$B$2:$B$5,MATCH(F54,Reference!$A$2:$A$5,0))*INDEX(Reference!$E$2:$E$5,MATCH(E54,Reference!$D$2:$D$5,0)))</f>
        <v>0</v>
      </c>
      <c r="H54" s="17">
        <f>IF(E54="N/A",0,INDEX(Reference!$B$2:$B$5,MATCH(F54,Reference!$A$2:$A$5,0)))</f>
        <v>2</v>
      </c>
      <c r="I54" s="18"/>
      <c r="J54" s="18"/>
      <c r="K54" s="10"/>
      <c r="L54" s="17"/>
    </row>
    <row r="55" spans="1:12" ht="25.5" x14ac:dyDescent="0.25">
      <c r="A55" s="17">
        <v>54</v>
      </c>
      <c r="B55" s="10" t="s">
        <v>36</v>
      </c>
      <c r="C55" s="10" t="s">
        <v>147</v>
      </c>
      <c r="D55" s="18" t="s">
        <v>148</v>
      </c>
      <c r="E55" s="17" t="s">
        <v>54</v>
      </c>
      <c r="F55" s="17" t="s">
        <v>53</v>
      </c>
      <c r="G55" s="17">
        <f>IF(E55="N/A",0,INDEX(Reference!$B$2:$B$5,MATCH(F55,Reference!$A$2:$A$5,0))*INDEX(Reference!$E$2:$E$5,MATCH(E55,Reference!$D$2:$D$5,0)))</f>
        <v>0</v>
      </c>
      <c r="H55" s="17">
        <f>IF(E55="N/A",0,INDEX(Reference!$B$2:$B$5,MATCH(F55,Reference!$A$2:$A$5,0)))</f>
        <v>2</v>
      </c>
      <c r="I55" s="18"/>
      <c r="J55" s="18"/>
      <c r="K55" s="10"/>
      <c r="L55" s="17"/>
    </row>
    <row r="56" spans="1:12" x14ac:dyDescent="0.25">
      <c r="A56" s="17">
        <v>55</v>
      </c>
      <c r="B56" s="10" t="s">
        <v>36</v>
      </c>
      <c r="C56" s="10" t="s">
        <v>101</v>
      </c>
      <c r="D56" s="18" t="s">
        <v>149</v>
      </c>
      <c r="E56" s="17" t="s">
        <v>54</v>
      </c>
      <c r="F56" s="17" t="s">
        <v>53</v>
      </c>
      <c r="G56" s="17">
        <f>IF(E56="N/A",0,INDEX(Reference!$B$2:$B$5,MATCH(F56,Reference!$A$2:$A$5,0))*INDEX(Reference!$E$2:$E$5,MATCH(E56,Reference!$D$2:$D$5,0)))</f>
        <v>0</v>
      </c>
      <c r="H56" s="17">
        <f>IF(E56="N/A",0,INDEX(Reference!$B$2:$B$5,MATCH(F56,Reference!$A$2:$A$5,0)))</f>
        <v>2</v>
      </c>
      <c r="I56" s="18"/>
      <c r="J56" s="18"/>
      <c r="K56" s="10"/>
      <c r="L56" s="17"/>
    </row>
    <row r="57" spans="1:12" ht="25.5" x14ac:dyDescent="0.25">
      <c r="A57" s="17">
        <v>56</v>
      </c>
      <c r="B57" s="10" t="s">
        <v>36</v>
      </c>
      <c r="C57" s="10" t="s">
        <v>150</v>
      </c>
      <c r="D57" s="18" t="s">
        <v>151</v>
      </c>
      <c r="E57" s="17" t="s">
        <v>54</v>
      </c>
      <c r="F57" s="17" t="s">
        <v>53</v>
      </c>
      <c r="G57" s="17">
        <f>IF(E57="N/A",0,INDEX(Reference!$B$2:$B$5,MATCH(F57,Reference!$A$2:$A$5,0))*INDEX(Reference!$E$2:$E$5,MATCH(E57,Reference!$D$2:$D$5,0)))</f>
        <v>0</v>
      </c>
      <c r="H57" s="17">
        <f>IF(E57="N/A",0,INDEX(Reference!$B$2:$B$5,MATCH(F57,Reference!$A$2:$A$5,0)))</f>
        <v>2</v>
      </c>
      <c r="I57" s="18"/>
      <c r="J57" s="18"/>
      <c r="K57" s="10"/>
      <c r="L57" s="17"/>
    </row>
    <row r="58" spans="1:12" ht="25.5" x14ac:dyDescent="0.25">
      <c r="A58" s="17">
        <v>57</v>
      </c>
      <c r="B58" s="10" t="s">
        <v>36</v>
      </c>
      <c r="C58" s="10" t="s">
        <v>152</v>
      </c>
      <c r="D58" s="18" t="s">
        <v>153</v>
      </c>
      <c r="E58" s="17" t="s">
        <v>54</v>
      </c>
      <c r="F58" s="17" t="s">
        <v>53</v>
      </c>
      <c r="G58" s="17">
        <f>IF(E58="N/A",0,INDEX(Reference!$B$2:$B$5,MATCH(F58,Reference!$A$2:$A$5,0))*INDEX(Reference!$E$2:$E$5,MATCH(E58,Reference!$D$2:$D$5,0)))</f>
        <v>0</v>
      </c>
      <c r="H58" s="17">
        <f>IF(E58="N/A",0,INDEX(Reference!$B$2:$B$5,MATCH(F58,Reference!$A$2:$A$5,0)))</f>
        <v>2</v>
      </c>
      <c r="I58" s="18"/>
      <c r="J58" s="18"/>
      <c r="K58" s="10"/>
      <c r="L58" s="17"/>
    </row>
    <row r="59" spans="1:12" ht="25.5" x14ac:dyDescent="0.25">
      <c r="A59" s="17">
        <v>58</v>
      </c>
      <c r="B59" s="10" t="s">
        <v>37</v>
      </c>
      <c r="C59" s="10" t="s">
        <v>154</v>
      </c>
      <c r="D59" s="18" t="s">
        <v>155</v>
      </c>
      <c r="E59" s="17" t="s">
        <v>54</v>
      </c>
      <c r="F59" s="17" t="s">
        <v>53</v>
      </c>
      <c r="G59" s="17">
        <f>IF(E59="N/A",0,INDEX(Reference!$B$2:$B$5,MATCH(F59,Reference!$A$2:$A$5,0))*INDEX(Reference!$E$2:$E$5,MATCH(E59,Reference!$D$2:$D$5,0)))</f>
        <v>0</v>
      </c>
      <c r="H59" s="17">
        <f>IF(E59="N/A",0,INDEX(Reference!$B$2:$B$5,MATCH(F59,Reference!$A$2:$A$5,0)))</f>
        <v>2</v>
      </c>
      <c r="I59" s="18"/>
      <c r="J59" s="18"/>
      <c r="K59" s="10"/>
      <c r="L59" s="17"/>
    </row>
    <row r="60" spans="1:12" x14ac:dyDescent="0.25">
      <c r="A60" s="17">
        <v>59</v>
      </c>
      <c r="B60" s="10" t="s">
        <v>37</v>
      </c>
      <c r="C60" s="10" t="s">
        <v>154</v>
      </c>
      <c r="D60" s="18" t="s">
        <v>156</v>
      </c>
      <c r="E60" s="17" t="s">
        <v>54</v>
      </c>
      <c r="F60" s="17" t="s">
        <v>53</v>
      </c>
      <c r="G60" s="17">
        <f>IF(E60="N/A",0,INDEX(Reference!$B$2:$B$5,MATCH(F60,Reference!$A$2:$A$5,0))*INDEX(Reference!$E$2:$E$5,MATCH(E60,Reference!$D$2:$D$5,0)))</f>
        <v>0</v>
      </c>
      <c r="H60" s="17">
        <f>IF(E60="N/A",0,INDEX(Reference!$B$2:$B$5,MATCH(F60,Reference!$A$2:$A$5,0)))</f>
        <v>2</v>
      </c>
      <c r="I60" s="18"/>
      <c r="J60" s="18"/>
      <c r="K60" s="10"/>
      <c r="L60" s="17"/>
    </row>
    <row r="61" spans="1:12" ht="25.5" x14ac:dyDescent="0.25">
      <c r="A61" s="17">
        <v>60</v>
      </c>
      <c r="B61" s="10" t="s">
        <v>37</v>
      </c>
      <c r="C61" s="10" t="s">
        <v>157</v>
      </c>
      <c r="D61" s="18" t="s">
        <v>158</v>
      </c>
      <c r="E61" s="17" t="s">
        <v>54</v>
      </c>
      <c r="F61" s="17" t="s">
        <v>53</v>
      </c>
      <c r="G61" s="17">
        <f>IF(E61="N/A",0,INDEX(Reference!$B$2:$B$5,MATCH(F61,Reference!$A$2:$A$5,0))*INDEX(Reference!$E$2:$E$5,MATCH(E61,Reference!$D$2:$D$5,0)))</f>
        <v>0</v>
      </c>
      <c r="H61" s="17">
        <f>IF(E61="N/A",0,INDEX(Reference!$B$2:$B$5,MATCH(F61,Reference!$A$2:$A$5,0)))</f>
        <v>2</v>
      </c>
      <c r="I61" s="18"/>
      <c r="J61" s="18"/>
      <c r="K61" s="10"/>
      <c r="L61" s="17"/>
    </row>
    <row r="62" spans="1:12" ht="25.5" x14ac:dyDescent="0.25">
      <c r="A62" s="17">
        <v>61</v>
      </c>
      <c r="B62" s="10" t="s">
        <v>37</v>
      </c>
      <c r="C62" s="10" t="s">
        <v>159</v>
      </c>
      <c r="D62" s="18" t="s">
        <v>160</v>
      </c>
      <c r="E62" s="17" t="s">
        <v>54</v>
      </c>
      <c r="F62" s="17" t="s">
        <v>53</v>
      </c>
      <c r="G62" s="17">
        <f>IF(E62="N/A",0,INDEX(Reference!$B$2:$B$5,MATCH(F62,Reference!$A$2:$A$5,0))*INDEX(Reference!$E$2:$E$5,MATCH(E62,Reference!$D$2:$D$5,0)))</f>
        <v>0</v>
      </c>
      <c r="H62" s="17">
        <f>IF(E62="N/A",0,INDEX(Reference!$B$2:$B$5,MATCH(F62,Reference!$A$2:$A$5,0)))</f>
        <v>2</v>
      </c>
      <c r="I62" s="18"/>
      <c r="J62" s="18"/>
      <c r="K62" s="10"/>
      <c r="L62" s="17"/>
    </row>
    <row r="63" spans="1:12" x14ac:dyDescent="0.25">
      <c r="A63" s="17">
        <v>62</v>
      </c>
      <c r="B63" s="10" t="s">
        <v>37</v>
      </c>
      <c r="C63" s="10" t="s">
        <v>161</v>
      </c>
      <c r="D63" s="18" t="s">
        <v>162</v>
      </c>
      <c r="E63" s="17" t="s">
        <v>54</v>
      </c>
      <c r="F63" s="17" t="s">
        <v>53</v>
      </c>
      <c r="G63" s="17">
        <f>IF(E63="N/A",0,INDEX(Reference!$B$2:$B$5,MATCH(F63,Reference!$A$2:$A$5,0))*INDEX(Reference!$E$2:$E$5,MATCH(E63,Reference!$D$2:$D$5,0)))</f>
        <v>0</v>
      </c>
      <c r="H63" s="17">
        <f>IF(E63="N/A",0,INDEX(Reference!$B$2:$B$5,MATCH(F63,Reference!$A$2:$A$5,0)))</f>
        <v>2</v>
      </c>
      <c r="I63" s="18"/>
      <c r="J63" s="18"/>
      <c r="K63" s="10"/>
      <c r="L63" s="17"/>
    </row>
    <row r="64" spans="1:12" ht="25.5" x14ac:dyDescent="0.25">
      <c r="A64" s="17">
        <v>63</v>
      </c>
      <c r="B64" s="10" t="s">
        <v>37</v>
      </c>
      <c r="C64" s="10" t="s">
        <v>163</v>
      </c>
      <c r="D64" s="18" t="s">
        <v>164</v>
      </c>
      <c r="E64" s="17" t="s">
        <v>54</v>
      </c>
      <c r="F64" s="17" t="s">
        <v>53</v>
      </c>
      <c r="G64" s="17">
        <f>IF(E64="N/A",0,INDEX(Reference!$B$2:$B$5,MATCH(F64,Reference!$A$2:$A$5,0))*INDEX(Reference!$E$2:$E$5,MATCH(E64,Reference!$D$2:$D$5,0)))</f>
        <v>0</v>
      </c>
      <c r="H64" s="17">
        <f>IF(E64="N/A",0,INDEX(Reference!$B$2:$B$5,MATCH(F64,Reference!$A$2:$A$5,0)))</f>
        <v>2</v>
      </c>
      <c r="I64" s="18"/>
      <c r="J64" s="18"/>
      <c r="K64" s="10"/>
      <c r="L64" s="17"/>
    </row>
    <row r="65" spans="1:12" ht="25.5" x14ac:dyDescent="0.25">
      <c r="A65" s="17">
        <v>64</v>
      </c>
      <c r="B65" s="10" t="s">
        <v>37</v>
      </c>
      <c r="C65" s="10" t="s">
        <v>77</v>
      </c>
      <c r="D65" s="18" t="s">
        <v>165</v>
      </c>
      <c r="E65" s="17" t="s">
        <v>54</v>
      </c>
      <c r="F65" s="17" t="s">
        <v>53</v>
      </c>
      <c r="G65" s="17">
        <f>IF(E65="N/A",0,INDEX(Reference!$B$2:$B$5,MATCH(F65,Reference!$A$2:$A$5,0))*INDEX(Reference!$E$2:$E$5,MATCH(E65,Reference!$D$2:$D$5,0)))</f>
        <v>0</v>
      </c>
      <c r="H65" s="17">
        <f>IF(E65="N/A",0,INDEX(Reference!$B$2:$B$5,MATCH(F65,Reference!$A$2:$A$5,0)))</f>
        <v>2</v>
      </c>
      <c r="I65" s="18"/>
      <c r="J65" s="18"/>
      <c r="K65" s="10"/>
      <c r="L65" s="17"/>
    </row>
    <row r="66" spans="1:12" ht="25.5" x14ac:dyDescent="0.25">
      <c r="A66" s="17">
        <v>65</v>
      </c>
      <c r="B66" s="10" t="s">
        <v>37</v>
      </c>
      <c r="C66" s="10" t="s">
        <v>166</v>
      </c>
      <c r="D66" s="18" t="s">
        <v>167</v>
      </c>
      <c r="E66" s="17" t="s">
        <v>54</v>
      </c>
      <c r="F66" s="17" t="s">
        <v>53</v>
      </c>
      <c r="G66" s="17">
        <f>IF(E66="N/A",0,INDEX(Reference!$B$2:$B$5,MATCH(F66,Reference!$A$2:$A$5,0))*INDEX(Reference!$E$2:$E$5,MATCH(E66,Reference!$D$2:$D$5,0)))</f>
        <v>0</v>
      </c>
      <c r="H66" s="17">
        <f>IF(E66="N/A",0,INDEX(Reference!$B$2:$B$5,MATCH(F66,Reference!$A$2:$A$5,0)))</f>
        <v>2</v>
      </c>
      <c r="I66" s="18"/>
      <c r="J66" s="18"/>
      <c r="K66" s="10"/>
      <c r="L66" s="17"/>
    </row>
    <row r="67" spans="1:12" x14ac:dyDescent="0.25">
      <c r="A67" s="17">
        <v>66</v>
      </c>
      <c r="B67" s="10" t="s">
        <v>38</v>
      </c>
      <c r="C67" s="10" t="s">
        <v>168</v>
      </c>
      <c r="D67" s="18" t="s">
        <v>169</v>
      </c>
      <c r="E67" s="17" t="s">
        <v>54</v>
      </c>
      <c r="F67" s="17" t="s">
        <v>53</v>
      </c>
      <c r="G67" s="17">
        <f>IF(E67="N/A",0,INDEX(Reference!$B$2:$B$5,MATCH(F67,Reference!$A$2:$A$5,0))*INDEX(Reference!$E$2:$E$5,MATCH(E67,Reference!$D$2:$D$5,0)))</f>
        <v>0</v>
      </c>
      <c r="H67" s="17">
        <f>IF(E67="N/A",0,INDEX(Reference!$B$2:$B$5,MATCH(F67,Reference!$A$2:$A$5,0)))</f>
        <v>2</v>
      </c>
      <c r="I67" s="18"/>
      <c r="J67" s="18"/>
      <c r="K67" s="10"/>
      <c r="L67" s="17"/>
    </row>
    <row r="68" spans="1:12" ht="25.5" x14ac:dyDescent="0.25">
      <c r="A68" s="17">
        <v>67</v>
      </c>
      <c r="B68" s="10" t="s">
        <v>38</v>
      </c>
      <c r="C68" s="10" t="s">
        <v>170</v>
      </c>
      <c r="D68" s="18" t="s">
        <v>171</v>
      </c>
      <c r="E68" s="17" t="s">
        <v>54</v>
      </c>
      <c r="F68" s="17" t="s">
        <v>53</v>
      </c>
      <c r="G68" s="17">
        <f>IF(E68="N/A",0,INDEX(Reference!$B$2:$B$5,MATCH(F68,Reference!$A$2:$A$5,0))*INDEX(Reference!$E$2:$E$5,MATCH(E68,Reference!$D$2:$D$5,0)))</f>
        <v>0</v>
      </c>
      <c r="H68" s="17">
        <f>IF(E68="N/A",0,INDEX(Reference!$B$2:$B$5,MATCH(F68,Reference!$A$2:$A$5,0)))</f>
        <v>2</v>
      </c>
      <c r="I68" s="18"/>
      <c r="J68" s="18"/>
      <c r="K68" s="10"/>
      <c r="L68" s="17"/>
    </row>
    <row r="69" spans="1:12" ht="25.5" x14ac:dyDescent="0.25">
      <c r="A69" s="17">
        <v>68</v>
      </c>
      <c r="B69" s="10" t="s">
        <v>38</v>
      </c>
      <c r="C69" s="10" t="s">
        <v>131</v>
      </c>
      <c r="D69" s="18" t="s">
        <v>172</v>
      </c>
      <c r="E69" s="17" t="s">
        <v>54</v>
      </c>
      <c r="F69" s="17" t="s">
        <v>53</v>
      </c>
      <c r="G69" s="17">
        <f>IF(E69="N/A",0,INDEX(Reference!$B$2:$B$5,MATCH(F69,Reference!$A$2:$A$5,0))*INDEX(Reference!$E$2:$E$5,MATCH(E69,Reference!$D$2:$D$5,0)))</f>
        <v>0</v>
      </c>
      <c r="H69" s="17">
        <f>IF(E69="N/A",0,INDEX(Reference!$B$2:$B$5,MATCH(F69,Reference!$A$2:$A$5,0)))</f>
        <v>2</v>
      </c>
      <c r="I69" s="18"/>
      <c r="J69" s="18"/>
      <c r="K69" s="10"/>
      <c r="L69" s="17"/>
    </row>
    <row r="70" spans="1:12" x14ac:dyDescent="0.25">
      <c r="A70" s="17">
        <v>69</v>
      </c>
      <c r="B70" s="10" t="s">
        <v>38</v>
      </c>
      <c r="C70" s="10" t="s">
        <v>131</v>
      </c>
      <c r="D70" s="18" t="s">
        <v>173</v>
      </c>
      <c r="E70" s="17" t="s">
        <v>54</v>
      </c>
      <c r="F70" s="17" t="s">
        <v>53</v>
      </c>
      <c r="G70" s="17">
        <f>IF(E70="N/A",0,INDEX(Reference!$B$2:$B$5,MATCH(F70,Reference!$A$2:$A$5,0))*INDEX(Reference!$E$2:$E$5,MATCH(E70,Reference!$D$2:$D$5,0)))</f>
        <v>0</v>
      </c>
      <c r="H70" s="17">
        <f>IF(E70="N/A",0,INDEX(Reference!$B$2:$B$5,MATCH(F70,Reference!$A$2:$A$5,0)))</f>
        <v>2</v>
      </c>
      <c r="I70" s="18"/>
      <c r="J70" s="18"/>
      <c r="K70" s="10"/>
      <c r="L70" s="17"/>
    </row>
    <row r="71" spans="1:12" x14ac:dyDescent="0.25">
      <c r="A71" s="17">
        <v>70</v>
      </c>
      <c r="B71" s="10" t="s">
        <v>38</v>
      </c>
      <c r="C71" s="10" t="s">
        <v>174</v>
      </c>
      <c r="D71" s="18" t="s">
        <v>175</v>
      </c>
      <c r="E71" s="17" t="s">
        <v>54</v>
      </c>
      <c r="F71" s="17" t="s">
        <v>53</v>
      </c>
      <c r="G71" s="17">
        <f>IF(E71="N/A",0,INDEX(Reference!$B$2:$B$5,MATCH(F71,Reference!$A$2:$A$5,0))*INDEX(Reference!$E$2:$E$5,MATCH(E71,Reference!$D$2:$D$5,0)))</f>
        <v>0</v>
      </c>
      <c r="H71" s="17">
        <f>IF(E71="N/A",0,INDEX(Reference!$B$2:$B$5,MATCH(F71,Reference!$A$2:$A$5,0)))</f>
        <v>2</v>
      </c>
      <c r="I71" s="18"/>
      <c r="J71" s="18"/>
      <c r="K71" s="10"/>
      <c r="L71" s="17"/>
    </row>
    <row r="72" spans="1:12" ht="25.5" x14ac:dyDescent="0.25">
      <c r="A72" s="17">
        <v>71</v>
      </c>
      <c r="B72" s="10" t="s">
        <v>38</v>
      </c>
      <c r="C72" s="10" t="s">
        <v>176</v>
      </c>
      <c r="D72" s="18" t="s">
        <v>177</v>
      </c>
      <c r="E72" s="17" t="s">
        <v>54</v>
      </c>
      <c r="F72" s="17" t="s">
        <v>53</v>
      </c>
      <c r="G72" s="17">
        <f>IF(E72="N/A",0,INDEX(Reference!$B$2:$B$5,MATCH(F72,Reference!$A$2:$A$5,0))*INDEX(Reference!$E$2:$E$5,MATCH(E72,Reference!$D$2:$D$5,0)))</f>
        <v>0</v>
      </c>
      <c r="H72" s="17">
        <f>IF(E72="N/A",0,INDEX(Reference!$B$2:$B$5,MATCH(F72,Reference!$A$2:$A$5,0)))</f>
        <v>2</v>
      </c>
      <c r="I72" s="18"/>
      <c r="J72" s="18"/>
      <c r="K72" s="10"/>
      <c r="L72" s="17"/>
    </row>
  </sheetData>
  <conditionalFormatting sqref="E2:E72">
    <cfRule type="cellIs" dxfId="3" priority="2" operator="equal">
      <formula>"Conforme"</formula>
    </cfRule>
    <cfRule type="cellIs" dxfId="2" priority="3" operator="equal">
      <formula>"Partiel"</formula>
    </cfRule>
    <cfRule type="cellIs" dxfId="1" priority="4" operator="equal">
      <formula>"Non conforme"</formula>
    </cfRule>
    <cfRule type="cellIs" dxfId="0" priority="5" operator="equal">
      <formula>"N/A"</formula>
    </cfRule>
  </conditionalFormatting>
  <dataValidations count="2">
    <dataValidation type="list" error="Choisir une valeur dans la liste" prompt="Conforme / Partiel / Non conforme / N/A" sqref="E2:E72">
      <formula1>"Conforme,Partiel,Non conforme,N/A"</formula1>
      <formula2>0</formula2>
    </dataValidation>
    <dataValidation type="list" prompt="Critique / Élevé / Moyen / Faible" sqref="F2:F72">
      <formula1>"Critique,Élevé,Moyen,Faible"</formula1>
      <formula2>0</formula2>
    </dataValidation>
  </dataValidations>
  <pageMargins left="0.31496062992125984" right="0.31496062992125984" top="0.51181102362204722" bottom="0.51181102362204722" header="0.19685039370078741" footer="0.19685039370078741"/>
  <pageSetup paperSize="9" scale="55" fitToHeight="0" orientation="landscape" horizontalDpi="300" verticalDpi="300" r:id="rId1"/>
  <headerFooter>
    <oddHeader>&amp;L&amp;"Calibri,Bold"&amp;9 Citadel IT Solutions&amp;R&amp;9 Page &amp;P / &amp;N</oddHeader>
    <oddFooter>&amp;C&amp;"Calibri,Italique"&amp;8 Citadel IT Solutions - Conseil IT, Cloud &amp;&amp; Cybersécurité - Lomé, Togo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2</vt:i4>
      </vt:variant>
    </vt:vector>
  </HeadingPairs>
  <TitlesOfParts>
    <vt:vector size="6" baseType="lpstr">
      <vt:lpstr>Mode d'emploi</vt:lpstr>
      <vt:lpstr>Tableau de bord</vt:lpstr>
      <vt:lpstr>Reference</vt:lpstr>
      <vt:lpstr>Grille Audit</vt:lpstr>
      <vt:lpstr>'Grille Audit'!Impression_des_titres</vt:lpstr>
      <vt:lpstr>'Grille Audit'!Zone_d_impression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Grille Audit IT Hotelier - Citadel IT Solutions</dc:title>
  <dc:subject/>
  <dc:creator>Direction IT</dc:creator>
  <dc:description/>
  <cp:lastModifiedBy>oversight</cp:lastModifiedBy>
  <cp:revision>0</cp:revision>
  <cp:lastPrinted>2026-07-14T11:02:43Z</cp:lastPrinted>
  <dcterms:created xsi:type="dcterms:W3CDTF">2026-07-13T23:19:32Z</dcterms:created>
  <dcterms:modified xsi:type="dcterms:W3CDTF">2026-07-14T11:03:58Z</dcterms:modified>
  <dc:language>en-US</dc:language>
</cp:coreProperties>
</file>